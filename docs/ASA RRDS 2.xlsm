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richardl\Desktop\rrds\"/>
    </mc:Choice>
  </mc:AlternateContent>
  <bookViews>
    <workbookView xWindow="0" yWindow="0" windowWidth="23040" windowHeight="9384" tabRatio="500"/>
  </bookViews>
  <sheets>
    <sheet name="Documentation" sheetId="3" r:id="rId1"/>
    <sheet name="ToC" sheetId="2" r:id="rId2"/>
    <sheet name="Search" sheetId="5" r:id="rId3"/>
    <sheet name="RRDS-NGS" sheetId="1" r:id="rId4"/>
  </sheets>
  <definedNames>
    <definedName name="_xlnm._FilterDatabase" localSheetId="3" hidden="1">'RRDS-NGS'!$A$1:$E$287</definedName>
    <definedName name="ACCOUNTING">'RRDS-NGS'!$C$32</definedName>
    <definedName name="ADMINISTRATION">'RRDS-NGS'!$A$29</definedName>
    <definedName name="AGREEMENTS">'RRDS-NGS'!$C$77</definedName>
    <definedName name="ALLOWANCES">'RRDS-NGS'!$C$91</definedName>
    <definedName name="ARRANGEMENTS">'RRDS-NGS'!$C$202</definedName>
    <definedName name="ASSETS">'RRDS-NGS'!$C$35</definedName>
    <definedName name="AUDIT">'RRDS-NGS'!$C$34</definedName>
    <definedName name="BANKING">'RRDS-NGS'!$C$33</definedName>
    <definedName name="BAP_CON_MARR_FUN_MEM">'RRDS-NGS'!$C$215</definedName>
    <definedName name="BREACHES">'RRDS-NGS'!$D$68</definedName>
    <definedName name="BUDGETING">'RRDS-NGS'!$C$38</definedName>
    <definedName name="CELEBRATIONS">'RRDS-NGS'!$B$201</definedName>
    <definedName name="CHAP_PROG">'RRDS-NGS'!$B$217</definedName>
    <definedName name="CHAP_PROG_EST">'RRDS-NGS'!$C$218</definedName>
    <definedName name="CHAP_PROG_FUND">'RRDS-NGS'!$C$219</definedName>
    <definedName name="CHAP_PROG_PAST">'RRDS-NGS'!$C$221</definedName>
    <definedName name="CHAP_PROG_PUBS">'RRDS-NGS'!$C$222</definedName>
    <definedName name="CIRC_EXT">'RRDS-NGS'!$C$197</definedName>
    <definedName name="CIRC_INT">'RRDS-NGS'!$C$196</definedName>
    <definedName name="CIRC_INTERNAL">'RRDS-NGS'!$C$196</definedName>
    <definedName name="CIRCULARS">'RRDS-NGS'!$B$195</definedName>
    <definedName name="CLAIMS">'RRDS-NGS'!$D$44</definedName>
    <definedName name="COM_VIPS">'RRDS-NGS'!$C$205</definedName>
    <definedName name="COM_VISITS">'RRDS-NGS'!$B$204</definedName>
    <definedName name="COM_VISITS_ARR">'RRDS-NGS'!$C$206</definedName>
    <definedName name="COMM_REL">'RRDS-NGS'!$B$207</definedName>
    <definedName name="COMMUNICATIONS">'RRDS-NGS'!$A$194</definedName>
    <definedName name="CONFERENCES">'RRDS-NGS'!$D$93</definedName>
    <definedName name="CONSERVATION">'RRDS-NGS'!$D$74</definedName>
    <definedName name="COUNSELLING">'RRDS-NGS'!$C$89</definedName>
    <definedName name="DONATIONS">'RRDS-NGS'!$D$73</definedName>
    <definedName name="EMPLYMENT_MAINTAINED">'RRDS-NGS'!$D$86</definedName>
    <definedName name="EMPLYMENT_NOT_MAINTAINED">'RRDS-NGS'!$D$87</definedName>
    <definedName name="ENQUIRIES">'RRDS-NGS'!$B$101</definedName>
    <definedName name="ENTERPRISE_AGREEMENTS">'RRDS-NGS'!$D$78</definedName>
    <definedName name="EPHEMERA">'RRDS-NGS'!$A$226</definedName>
    <definedName name="EVALUATION">'RRDS-NGS'!$D$94</definedName>
    <definedName name="EVENT">'RRDS-NGS'!$C$203</definedName>
    <definedName name="FACILITY_HIRE">'RRDS-NGS'!$C$60</definedName>
    <definedName name="FEES">'RRDS-NGS'!$C$40</definedName>
    <definedName name="FINANCE">'RRDS-NGS'!$B$30</definedName>
    <definedName name="FINANCIAL_RECORDS_ANNUAL">'RRDS-NGS'!$C$31</definedName>
    <definedName name="FUNDING">'RRDS-NGS'!$C$39</definedName>
    <definedName name="GOV_AGREE_CONT">'RRDS-NGS'!$B$11</definedName>
    <definedName name="GOV_AGREE_REG">'RRDS-NGS'!$C$12</definedName>
    <definedName name="GOV_CHILD_PROT">'RRDS-NGS'!$B$19</definedName>
    <definedName name="GOV_COMP">'RRDS-NGS'!$B$8</definedName>
    <definedName name="GOV_CONT_FAIL">'RRDS-NGS'!$C$15</definedName>
    <definedName name="GOV_CONT_MAJOR">'RRDS-NGS'!$C$13</definedName>
    <definedName name="GOV_CONT_MINOR">'RRDS-NGS'!$C$14</definedName>
    <definedName name="GOV_CORP_IDENT">'RRDS-NGS'!$B$20</definedName>
    <definedName name="GOV_COUNCIL_COMM">'RRDS-NGS'!$B$6</definedName>
    <definedName name="GOV_DELEG">'RRDS-NGS'!$B$10</definedName>
    <definedName name="GOV_ESTAB">'RRDS-NGS'!$B$4</definedName>
    <definedName name="GOV_LEG_AD_MAJ">'RRDS-NGS'!$D$23</definedName>
    <definedName name="GOV_LEG_ADV">'RRDS-NGS'!$C$22</definedName>
    <definedName name="GOV_LEG_ADV_OTH">'RRDS-NGS'!$D$24</definedName>
    <definedName name="GOV_LEG_LIT">'RRDS-NGS'!$C$25</definedName>
    <definedName name="GOV_LEG_LIT_MAJ">'RRDS-NGS'!$D$26</definedName>
    <definedName name="GOV_LEG_LIT_OTH">'RRDS-NGS'!$D$27</definedName>
    <definedName name="GOV_LEG_SERV">'RRDS-NGS'!$B$21</definedName>
    <definedName name="GOV_PLANNING">'RRDS-NGS'!$B$9</definedName>
    <definedName name="GOV_POL">'RRDS-NGS'!$B$17</definedName>
    <definedName name="GOV_REG">'RRDS-NGS'!$B$7</definedName>
    <definedName name="GOV_REPORT">'RRDS-NGS'!$B$18</definedName>
    <definedName name="GOV_SCHOOL_CLOS">'RRDS-NGS'!$B$5</definedName>
    <definedName name="GOV_SUB">'RRDS-NGS'!$B$16</definedName>
    <definedName name="GOVERNANCE">'RRDS-NGS'!$A$3</definedName>
    <definedName name="HAZ_MAT">'RRDS-NGS'!$C$50</definedName>
    <definedName name="HAZ_MAT_BUILD">'RRDS-NGS'!$D$52</definedName>
    <definedName name="HAZ_MAT_NON_BUILD">'RRDS-NGS'!$D$53</definedName>
    <definedName name="HAZ_MAT_NON_TOXIC">'RRDS-NGS'!$D$54</definedName>
    <definedName name="HAZ_MAT_REG">'RRDS-NGS'!$D$51</definedName>
    <definedName name="HUMAN_RESOURCES">'RRDS-NGS'!$B$76</definedName>
    <definedName name="ICT">'RRDS-NGS'!$C$63</definedName>
    <definedName name="ICT_ACQUISITION">'RRDS-NGS'!$D$64</definedName>
    <definedName name="ICT_IMPLEMENTATION">'RRDS-NGS'!$D$65</definedName>
    <definedName name="ICT_MANAGEMENT">'RRDS-NGS'!$D$66</definedName>
    <definedName name="IM_STORAGE">'RRDS-NGS'!$C$75</definedName>
    <definedName name="INFO_MANAGEMENT">'RRDS-NGS'!$B$61</definedName>
    <definedName name="INSURANCE">'RRDS-NGS'!$C$42</definedName>
    <definedName name="INTELLECTUAL_PROPERTY">'RRDS-NGS'!$C$62</definedName>
    <definedName name="MASTER_RECORD">'RRDS-NGS'!$D$95</definedName>
    <definedName name="OBJECTS">'RRDS-NGS'!$A$224</definedName>
    <definedName name="OHS">'RRDS-NGS'!$B$96</definedName>
    <definedName name="OHS_AUDIT">'RRDS-NGS'!$C$99</definedName>
    <definedName name="OHS_COMPENSATION">'RRDS-NGS'!$C$98</definedName>
    <definedName name="OHS_INCIDENTS">'RRDS-NGS'!$C$97</definedName>
    <definedName name="POLICIES">'RRDS-NGS'!$D$43</definedName>
    <definedName name="POSITIONS">'RRDS-NGS'!$C$80</definedName>
    <definedName name="PRIVACY">'RRDS-NGS'!$C$67</definedName>
    <definedName name="PRIVACY_COMPLAINTS">'RRDS-NGS'!$D$69</definedName>
    <definedName name="PROPERTY">'RRDS-NGS'!$B$45</definedName>
    <definedName name="PROPERTY_ACQ">'RRDS-NGS'!$C$46</definedName>
    <definedName name="PROPERTY_CON">'RRDS-NGS'!$C$47</definedName>
    <definedName name="PROPERTY_EQ">'RRDS-NGS'!$C$56</definedName>
    <definedName name="PROPERTY_EQ_ACQ">'RRDS-NGS'!$D$57</definedName>
    <definedName name="PROPERTY_EQ_DISP">'RRDS-NGS'!$D$58</definedName>
    <definedName name="PROPERTY_EQ_MAINT">'RRDS-NGS'!$D$59</definedName>
    <definedName name="PROPERTY_MAIN">'RRDS-NGS'!$C$49</definedName>
    <definedName name="PROPERTY_REFURB">'RRDS-NGS'!$C$48</definedName>
    <definedName name="PROPERTY_SECUITY">'RRDS-NGS'!$C$55</definedName>
    <definedName name="PROPERTY_SECURITY">'RRDS-NGS'!$C$55</definedName>
    <definedName name="PUB_PROD">'RRDS-NGS'!$C$199</definedName>
    <definedName name="PUB_PUB">'RRDS-NGS'!$C$200</definedName>
    <definedName name="PUBS">'RRDS-NGS'!$B$198</definedName>
    <definedName name="RECORD_KEEPING">'RRDS-NGS'!$C$70</definedName>
    <definedName name="RECORDKEEPING_CONTROLS">'RRDS-NGS'!$D$71</definedName>
    <definedName name="RECRUITEMENT_PROCESS">'RRDS-NGS'!$D$82</definedName>
    <definedName name="RECRUITMENT">'RRDS-NGS'!$C$81</definedName>
    <definedName name="REFERENCE_SERVICES">'RRDS-NGS'!$D$72</definedName>
    <definedName name="REGISTER">'RRDS-NGS'!$D$36</definedName>
    <definedName name="ROSTERING">'RRDS-NGS'!$B$100</definedName>
    <definedName name="SALARIES">'RRDS-NGS'!$C$90</definedName>
    <definedName name="SCH_REL_GROUP_ACT">'RRDS-NGS'!$B$212</definedName>
    <definedName name="SCH_REL_GROUP_GOV">'RRDS-NGS'!$B$210</definedName>
    <definedName name="SCH_REL_GROUP_MEM">'RRDS-NGS'!$B$211</definedName>
    <definedName name="SCH_REL_GROUPS">'RRDS-NGS'!$A$209</definedName>
    <definedName name="SECURITY_CHECKS">'RRDS-NGS'!$C$88</definedName>
    <definedName name="SPIRIT_PROG">'RRDS-NGS'!$A$214</definedName>
    <definedName name="SPIRIT_REL_CER">'RRDS-NGS'!$B$214</definedName>
    <definedName name="SPIRIT_REL_CER_ARR">'RRDS-NGS'!$C$216</definedName>
    <definedName name="STAFF_DEVELOPMENT">'RRDS-NGS'!$C$92</definedName>
    <definedName name="STAFF_HISTORY">'RRDS-NGS'!$C$84</definedName>
    <definedName name="STAFFF_DEVELOPMENT">'RRDS-NGS'!$C$92</definedName>
    <definedName name="STUD_MAN">'RRDS-NGS'!$A$122</definedName>
    <definedName name="STUD_MAN_ADM">'RRDS-NGS'!$B$128</definedName>
    <definedName name="STUD_MAN_ADM_DEPART">'RRDS-NGS'!$C$131</definedName>
    <definedName name="STUD_MAN_ADM_NOTSUC">'RRDS-NGS'!$C$132</definedName>
    <definedName name="STUD_MAN_ADM_SUCC">'RRDS-NGS'!$C$130</definedName>
    <definedName name="STUD_MAN_ADM_SUMM">'RRDS-NGS'!$C$129</definedName>
    <definedName name="STUD_MAN_ATTEND">'RRDS-NGS'!$B$133</definedName>
    <definedName name="STUD_MAN_AWARD">'RRDS-NGS'!$B$138</definedName>
    <definedName name="STUD_MAN_AWARD_EST">'RRDS-NGS'!$C$139</definedName>
    <definedName name="STUD_MAN_AWARD_INDI">'RRDS-NGS'!$C$141</definedName>
    <definedName name="STUD_MAN_AWARD_SUMM">'RRDS-NGS'!$C$140</definedName>
    <definedName name="STUD_MAN_BEHAV">'RRDS-NGS'!$B$150</definedName>
    <definedName name="STUD_MAN_BEHAV_ROUT_EV">'RRDS-NGS'!$C$152</definedName>
    <definedName name="STUD_MAN_BEHAV_SIG_EV">'RRDS-NGS'!$C$151</definedName>
    <definedName name="STUD_MAN_CHILD_PROT">'RRDS-NGS'!$B$147</definedName>
    <definedName name="STUD_MAN_CHILD_PROT_CASES">'RRDS-NGS'!$C$148</definedName>
    <definedName name="STUD_MAN_CHILD_PROT_HOST">'RRDS-NGS'!$C$149</definedName>
    <definedName name="STUD_MAN_COCURR">'RRDS-NGS'!$B$155</definedName>
    <definedName name="STUD_MAN_COCURR_ARTS">'RRDS-NGS'!$C$164</definedName>
    <definedName name="STUD_MAN_COCURR_ARTS_ARR">'RRDS-NGS'!$D$165</definedName>
    <definedName name="STUD_MAN_COCURR_ARTS_STUD_PART">'RRDS-NGS'!$D$166</definedName>
    <definedName name="STUD_MAN_COCURR_EST">'RRDS-NGS'!$C$156</definedName>
    <definedName name="STUD_MAN_COCURR_EXC">'RRDS-NGS'!$C$158</definedName>
    <definedName name="STUD_MAN_COCURR_EXC_ARR">'RRDS-NGS'!$D$159</definedName>
    <definedName name="STUD_MAN_COCURR_EXC_STUD_PART">'RRDS-NGS'!$D$160</definedName>
    <definedName name="STUD_MAN_COCURR_HOUSE">'RRDS-NGS'!$C$157</definedName>
    <definedName name="STUD_MAN_COCURR_SER_LEARN">'RRDS-NGS'!$C$167</definedName>
    <definedName name="STUD_MAN_COCURR_SER_LEARN_ARR">'RRDS-NGS'!$D$168</definedName>
    <definedName name="STUD_MAN_COCURR_SER_LEARN_STUD_PART">'RRDS-NGS'!$D$169</definedName>
    <definedName name="STUD_MAN_COCURR_SPORT">'RRDS-NGS'!$C$161</definedName>
    <definedName name="STUD_MAN_COCURR_SPORT_ARR">'RRDS-NGS'!$D$162</definedName>
    <definedName name="STUD_MAN_COCURR_SPORT_STUD_PART">'RRDS-NGS'!$D$163</definedName>
    <definedName name="STUD_MAN_FIN_ASS">'RRDS-NGS'!$B$134</definedName>
    <definedName name="STUD_MAN_FIN_ASS_EST">'RRDS-NGS'!$C$135</definedName>
    <definedName name="STUD_MAN_FIN_ASS_IND_AWARD">'RRDS-NGS'!$C$137</definedName>
    <definedName name="STUD_MAN_FIN_ASS_PROG">'RRDS-NGS'!$C$136</definedName>
    <definedName name="STUD_MAN_HEALTH">'RRDS-NGS'!$B$142</definedName>
    <definedName name="STUD_MAN_HEALTH_ACC">'RRDS-NGS'!$C$143</definedName>
    <definedName name="STUD_MAN_HEALTH_ACC_INVEST">'RRDS-NGS'!$D$145</definedName>
    <definedName name="STUD_MAN_HEALTH_ACC_REG">'RRDS-NGS'!$D$144</definedName>
    <definedName name="STUD_MAN_HEALTH_STUD_HIST">'RRDS-NGS'!$C$146</definedName>
    <definedName name="STUD_MAN_HOME">'RRDS-NGS'!$B$153</definedName>
    <definedName name="STUD_MAN_MAST_REC_OTH">'RRDS-NGS'!$C$126</definedName>
    <definedName name="STUD_MAN_MAST_REC_OUT_HOME">'RRDS-NGS'!$C$125</definedName>
    <definedName name="STUD_MAN_MAST_REC_SUP_REC">'RRDS-NGS'!$C$127</definedName>
    <definedName name="STUD_MAN_WORK_EXP">'RRDS-NGS'!$B$154</definedName>
    <definedName name="STUD_MAST_REC">'RRDS-NGS'!$B$123</definedName>
    <definedName name="STUD_MAST_REC_INDIG">'RRDS-NGS'!$C$124</definedName>
    <definedName name="STUD_SERV">'RRDS-NGS'!$A$103</definedName>
    <definedName name="STUD_SERV_ACCOM">'RRDS-NGS'!$B$115</definedName>
    <definedName name="STUD_SERV_ACCOM_APPS_SUC">'RRDS-NGS'!$C$116</definedName>
    <definedName name="STUD_SERV_ACCOM_APPS_UNSUC">'RRDS-NGS'!$C$117</definedName>
    <definedName name="STUD_SERV_ANIM_CROP">'RRDS-NGS'!$B$120</definedName>
    <definedName name="STUD_SERV_CAREERS">'RRDS-NGS'!$B$118</definedName>
    <definedName name="STUD_SERV_FOOD">'RRDS-NGS'!$B$104</definedName>
    <definedName name="STUD_SERV_FOOD_COMP">'RRDS-NGS'!$C$105</definedName>
    <definedName name="STUD_SERV_FOOD_OPER">'RRDS-NGS'!$C$106</definedName>
    <definedName name="STUD_SERV_HEALTH_WELF">'RRDS-NGS'!$B$111</definedName>
    <definedName name="STUD_SERV_HEALTH_WELF_PROG_DEV">'RRDS-NGS'!$C$112</definedName>
    <definedName name="STUD_SERV_HEALTH_WELF_PROG_OPER">'RRDS-NGS'!$C$113</definedName>
    <definedName name="STUD_SERV_HEALTH_WELF_SUMM_HEALTH_DAT">'RRDS-NGS'!$C$114</definedName>
    <definedName name="STUD_SERV_LIB">'RRDS-NGS'!$B$119</definedName>
    <definedName name="STUD_SERV_OUT_OF_HOURS">'RRDS-NGS'!$B$107</definedName>
    <definedName name="STUD_SERV_OUT_OF_HOURS_ACT">'RRDS-NGS'!$C$109</definedName>
    <definedName name="STUD_SERV_OUT_OF_HOURS_ATT">'RRDS-NGS'!$C$108</definedName>
    <definedName name="STUD_SERV_OUT_OF_HOURS_EXT_SERV">'RRDS-NGS'!$C$110</definedName>
    <definedName name="SUMMARY_DATA">'RRDS-NGS'!$D$85</definedName>
    <definedName name="TAXATION">'RRDS-NGS'!$C$41</definedName>
    <definedName name="TEACH_LEARN">'RRDS-NGS'!$A$170</definedName>
    <definedName name="TEACH_LEARN_ANALYTICS">'RRDS-NGS'!$B$183</definedName>
    <definedName name="TEACH_LEARN_ANALYTICS_AGG_DATA">'RRDS-NGS'!$C$184</definedName>
    <definedName name="TEACH_LEARN_ANALYTICS_INDIV_STU">'RRDS-NGS'!$C$185</definedName>
    <definedName name="TEACH_LEARN_CURR">'RRDS-NGS'!$B$171</definedName>
    <definedName name="TEACH_LEARN_CURR_DEV_DEL">'RRDS-NGS'!$C$173</definedName>
    <definedName name="TEACH_LEARN_CURR_INT_BACC">'RRDS-NGS'!$C$175</definedName>
    <definedName name="TEACH_LEARN_CURR_MAJ_PROG">'RRDS-NGS'!$C$172</definedName>
    <definedName name="TEACH_LEARN_CURR_REVIEW">'RRDS-NGS'!$C$174</definedName>
    <definedName name="TEACH_LEARN_DIST_ED">'RRDS-NGS'!$B$176</definedName>
    <definedName name="TEACH_LEARN_EXAM_ASS">'RRDS-NGS'!$B$187</definedName>
    <definedName name="TEACH_LEARN_EXAM_ASS_ARR">'RRDS-NGS'!$C$192</definedName>
    <definedName name="TEACH_LEARN_EXAM_ASS_CERTS">'RRDS-NGS'!$C$191</definedName>
    <definedName name="TEACH_LEARN_EXAM_ASS_OTHER">'RRDS-NGS'!$C$189</definedName>
    <definedName name="TEACH_LEARN_EXAM_ASS_STUD_RES">'RRDS-NGS'!$C$190</definedName>
    <definedName name="TEACH_LEARN_EXAM_ASS_SUMM_RESULTS">'RRDS-NGS'!$C$188</definedName>
    <definedName name="TEACH_LEARN_EXAM_ASS_SUMM_RESULTS_QUALS">'RRDS-NGS'!$C$188</definedName>
    <definedName name="TEACH_LEARN_HIGH_POT">'RRDS-NGS'!$B$180</definedName>
    <definedName name="TEACH_LEARN_HIGH_POT_PROG">'RRDS-NGS'!$C$181</definedName>
    <definedName name="TEACH_LEARN_HIGH_POT_STUD">'RRDS-NGS'!$C$182</definedName>
    <definedName name="TEACH_LEARN_SPEC_ED">'RRDS-NGS'!$B$177</definedName>
    <definedName name="TEACH_LEARN_SPEC_ED_IND_STUD">'RRDS-NGS'!$C$179</definedName>
    <definedName name="TEACH_LEARN_SPEC_ED_PROG">'RRDS-NGS'!$C$178</definedName>
    <definedName name="TEACH_LEARN_TIME">'RRDS-NGS'!$B$186</definedName>
    <definedName name="UNSUCCESSFUL_APPLICATIONS">'RRDS-NGS'!$D$83</definedName>
    <definedName name="VALUATIONS">'RRDS-NGS'!$D$37</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A63" i="3" l="1"/>
  <c r="A62" i="3"/>
  <c r="A33" i="3"/>
  <c r="A29" i="3"/>
  <c r="A35" i="3"/>
  <c r="A32" i="3"/>
  <c r="A31" i="3"/>
</calcChain>
</file>

<file path=xl/sharedStrings.xml><?xml version="1.0" encoding="utf-8"?>
<sst xmlns="http://schemas.openxmlformats.org/spreadsheetml/2006/main" count="1207" uniqueCount="646">
  <si>
    <t>Sub class &amp; Description</t>
  </si>
  <si>
    <t>TEACHING AND LEARNING</t>
  </si>
  <si>
    <t xml:space="preserve">ESTABLISHMENT - Formal arrangements for the establishment of a new school, including community engagement, planning, constitution and events surrounding the opening of the school. </t>
  </si>
  <si>
    <t>POLICIES AND PROCEDURES - Development and establishment of decisions, directions and precedents, to support future decision making and operations.</t>
  </si>
  <si>
    <t>CORPORATE IDENTITY - Development and protection of the name, coat of arms, crest, motto, logo or seal of the school.</t>
  </si>
  <si>
    <t>FINANCIAL ASSISTANCE - Provision of financial assistance to individual students, including bursaries and scholarships.</t>
  </si>
  <si>
    <t>AWARDS - academic and non academic awards won by students, including honours, posts held by students, prizes.</t>
  </si>
  <si>
    <t>Retain permanently</t>
  </si>
  <si>
    <t>Includes constitution; terms of reference; election documents; appointments; papers and minutes of Council/Board and senior committee meetings</t>
  </si>
  <si>
    <t>Applications for registration and supporting documentation; approvals; renewals; information requests; cancellations; suspensions</t>
  </si>
  <si>
    <t>Copies of parent application to the relevant authority; student details; communications regarding approval/ non approval.</t>
  </si>
  <si>
    <t>Application and supporting documentation; decision; appeals</t>
  </si>
  <si>
    <t xml:space="preserve">Application and supporting documentation; decision; appeals; notifications and consents from parents; </t>
  </si>
  <si>
    <t>Guidelines and standards; formal inspections, reviews, audits; results of assessments against standards</t>
  </si>
  <si>
    <t>Strategic plans; business plans; documentation of internal reviews</t>
  </si>
  <si>
    <t>Destroy 7 years after delegation expires</t>
  </si>
  <si>
    <t>Statements; business cases; supporting information; working papers</t>
  </si>
  <si>
    <t>Final policies; final procedures; working papers where they are likely to be reused</t>
  </si>
  <si>
    <t>UNSUCCESSFUL - Withdrawn or unsuccessful applications for accommodation services.</t>
  </si>
  <si>
    <t>Destroy 7 years after agreement ceases</t>
  </si>
  <si>
    <t>Destroy 5 years after action complete</t>
  </si>
  <si>
    <t>Destroy when superseded</t>
  </si>
  <si>
    <t>Records relating to animal or property acquisition and disposal, animal identification, permits, agistment, veterinary and care, chemical management, disease and pest control, housing or storage facilities, transportation, quarantine, scientific use approval, plant disposal, soil tests, usage registers</t>
  </si>
  <si>
    <t xml:space="preserve">PROGRAM OPERATION - Routine delivery of a health and welfare program or project </t>
  </si>
  <si>
    <t>Final versions of program, statistics and supporting data, monitoring and evaluation records, implementation plans</t>
  </si>
  <si>
    <t>Delivery plans, progress reports, meeting records</t>
  </si>
  <si>
    <t>Destroy 7 years after program ceases or is superseded</t>
  </si>
  <si>
    <t>Destroy 7 years after agreement expires</t>
  </si>
  <si>
    <t>REPORTING - Provision of formal responses to a requirement, situation or request (internal or external), e.g. reports to regulatory bodies, results of investigations, statistics. Includes public reporting such as the school's Annual Report.</t>
  </si>
  <si>
    <t>Certificate of Incorporation; Memorandum &amp; Articles of Association; planning documentation; records of community consultation; documentation of the opening; photographs</t>
  </si>
  <si>
    <t>Legal documents</t>
  </si>
  <si>
    <t>OPERATIONS - Routine running of food services, including stock management, equipment monitoring</t>
  </si>
  <si>
    <t>COMPLIANCE - Meeting of regulatory requirements, including registration of food premises, assessments, inspections, food safety program, incident (e.g. contamination, poisoning) management.</t>
  </si>
  <si>
    <t xml:space="preserve">ATTENDANCE - Registration of students attending out of hours care. </t>
  </si>
  <si>
    <t>ACTIVITIES - Development and provision of programs, activities</t>
  </si>
  <si>
    <t>INVESTIGATION - Reports and investigations of accidents, injuries, incidents and illness. Includes suspected event sustained at home in which the school becomes involved.</t>
  </si>
  <si>
    <t>SUMMARY HEALTH DATA - summary data relating to programs administered, e.g. vaccination.</t>
  </si>
  <si>
    <t>Vaccination register</t>
  </si>
  <si>
    <t xml:space="preserve">Case notes, reports, assessments and observations, meeting notes, treatment records, </t>
  </si>
  <si>
    <t>REGISTER - of accidents, injuries, incidents, illness and notifiable disease</t>
  </si>
  <si>
    <t>Accident register, first aid register, sick bay register, infectious disease register</t>
  </si>
  <si>
    <t xml:space="preserve">Destroy 7 years after assistance granted. </t>
  </si>
  <si>
    <t>Annual lists, honour boards, registers of school captains and prefects</t>
  </si>
  <si>
    <t>Destroy 6 years after student leaves the school</t>
  </si>
  <si>
    <t>teacher observations</t>
  </si>
  <si>
    <t>Destroy 5 years after action completed</t>
  </si>
  <si>
    <t>SPORTS - Arrangements for, and management of regular sports activities or specific events.</t>
  </si>
  <si>
    <t>Photographs</t>
  </si>
  <si>
    <t>Team lists, rosters, results</t>
  </si>
  <si>
    <t>Activity plans, financial plans</t>
  </si>
  <si>
    <t>EXCURSIONS - Arrangements for, and management of camps, visits, educational activities in other institutions (e.g. debating), overseas trips or other excursions.</t>
  </si>
  <si>
    <t xml:space="preserve">ARRANGEMENTS - Logistical and administrative arrangements.  </t>
  </si>
  <si>
    <t>Venue and support arrangements, schedules, tickets, programs, photographs</t>
  </si>
  <si>
    <t>MAJOR PROGRAMS - Research and development of programs that have a substantial impact on the curriculum and its delivery</t>
  </si>
  <si>
    <t>Plans, schedules, transport bookings, advices to parents/ guardians</t>
  </si>
  <si>
    <t>Parent/guardian permissions, photographs</t>
  </si>
  <si>
    <t xml:space="preserve"> </t>
  </si>
  <si>
    <t>Applications</t>
  </si>
  <si>
    <t xml:space="preserve">ESTABLISHMENT - Establishment of awards. Includes communication with donors/sponsors, summary records of awards granted or posts held, successful applications, nominations, records of the decision making process.  </t>
  </si>
  <si>
    <t xml:space="preserve">PROGRAM MANAGEMENT - Management and administration of financial assistance programs </t>
  </si>
  <si>
    <t>ROUTINE EVENTS - Routine events, cases or activities</t>
  </si>
  <si>
    <t>Plans, programs, reports, final versions of the curriculum</t>
  </si>
  <si>
    <t>SPECIAL EDUCATION - Education programs specifically directed and provided to students with learning or physical disabilities.</t>
  </si>
  <si>
    <t>Program structure, materials for parents, procedures</t>
  </si>
  <si>
    <t>PROGRAMS - Program-level design and management</t>
  </si>
  <si>
    <t>Student work plans, referrals, teacher observations</t>
  </si>
  <si>
    <t>INDIVIDUAL STUDENTS - Management of individual students</t>
  </si>
  <si>
    <t>Program design, plans, reports, lists of registered students, engagement of support services</t>
  </si>
  <si>
    <t>Curriculum content, revisions to units, syllabus, course notes, working papers, teaching methods, subject lists, handbooks, class programs, lesson guides</t>
  </si>
  <si>
    <t>Curriculum, program structure, teaching methods, subject lists, handbooks, class program, lesson guides</t>
  </si>
  <si>
    <t>SUMMARY RESULTS - OTHER YEARS  - Summary of results or examinations and assessments for years other than 11 and 12.</t>
  </si>
  <si>
    <t xml:space="preserve">EXAMINATIONS &amp; ASSESSMENTS  - Setting of, and arrangements for examinations and various other assessments, including examination records. </t>
  </si>
  <si>
    <t>Timetables, exam sheets, test papers,  assignments, answer books, marking guides, supervision rosters, special consideration requests</t>
  </si>
  <si>
    <t>Destroy 2 years after the program is superseded</t>
  </si>
  <si>
    <t xml:space="preserve">REVIEW - regular or specific review or evaluation of curriculum and its delivery </t>
  </si>
  <si>
    <t>CURRICULUM - The planning, research, development, implementation and evaluation of curriculum including the teaching and learning services offered to students.  Includes curriculum for distance education and for school-based apprenticeship or traineeship.</t>
  </si>
  <si>
    <t>SUMMARY RESULTS - QUALIFICATIONS -  Summary of results for years 11 and 12, IB students, apprentices and trainees for each year.</t>
  </si>
  <si>
    <t>Reports, results, statements of attainment, training contracts/agreements</t>
  </si>
  <si>
    <t xml:space="preserve">CIRCULARS AND INSTRUCTIONS </t>
  </si>
  <si>
    <t>ROUTINE INTERNAL - Routine internal staff notices and communications. For notices about significant events, use the relevant topic.</t>
  </si>
  <si>
    <t>EXTERNAL - Circulars from the school including to parents/ guardians.</t>
  </si>
  <si>
    <t>CELEBRATIONS – Arrangement and staging of school celebrations, ceremonies and functions.</t>
  </si>
  <si>
    <t>Complaints, congratulations, speeches, programs, display materials, advertising.</t>
  </si>
  <si>
    <t>PRODUCTION - Development, design and production of school publications.</t>
  </si>
  <si>
    <t>Destroy 3 years after action completed.</t>
  </si>
  <si>
    <t>RECORDS OF EVENT - Records of the event, produced for the event or as an outcome of the event.</t>
  </si>
  <si>
    <t>VIPs - Visits by eminent persons, e.g. royalty, minister of state, famous sports, entertainment or cultural people.</t>
  </si>
  <si>
    <t>Visitor books, photographs, speeches</t>
  </si>
  <si>
    <t xml:space="preserve">ARRANGEMENTS  - Administrative arrangements for visits by VIPs and all other persons or organisations.  </t>
  </si>
  <si>
    <t>Destroy 5 years after action completed.</t>
  </si>
  <si>
    <t>GOVERNANCE - The Group's establishment and governance</t>
  </si>
  <si>
    <t>Constitution, rules/polices/procedures, minutes of meetings, reports to the school Council (or equivalent).</t>
  </si>
  <si>
    <t>MEMBERSHIP - Registers of Group members</t>
  </si>
  <si>
    <t>Destroy when Group ceases</t>
  </si>
  <si>
    <t>Tenders, appointment, contracts, service level agreements</t>
  </si>
  <si>
    <t>Parent/guardian permissions, applications (e.g. for overseas trips), photographs</t>
  </si>
  <si>
    <t>Destroy when reference ceases</t>
  </si>
  <si>
    <t>Function</t>
  </si>
  <si>
    <t>Class &amp; Description</t>
  </si>
  <si>
    <r>
      <t xml:space="preserve">GOVERNANCE - managing school accountability and compliance according to legislation, sector standards and school policies. Includes governance structure (Board/Council, committees and membership), registration and accreditation, strategic planning, reviews, policies, and reporting.    </t>
    </r>
    <r>
      <rPr>
        <i/>
        <sz val="9"/>
        <color theme="1"/>
        <rFont val="Arial"/>
      </rPr>
      <t xml:space="preserve"> Use this class for meetings of school governance bodies, use the subject for meetings relating to operational matters. For the governance of school-related groups, use COMMUNICATIONS AND COMMUNITY RELATIONS - SCHOOL-RELATED GROUPS.</t>
    </r>
  </si>
  <si>
    <r>
      <t xml:space="preserve">CLOSURE - Formal arrangements for the closure of a school. </t>
    </r>
    <r>
      <rPr>
        <i/>
        <sz val="9"/>
        <color theme="1"/>
        <rFont val="Arial"/>
      </rPr>
      <t>For administrative arrangements (e.g. staff, disposal of assets), use the relevant topic under ADMINISTRATION.</t>
    </r>
  </si>
  <si>
    <r>
      <t xml:space="preserve">COUNCIL and COMMITTEES - Structure, membership, deliberations and operation of the school's governing Council (or equivalent) and committees, senior management group, and Student Council. </t>
    </r>
    <r>
      <rPr>
        <i/>
        <sz val="9"/>
        <color theme="1"/>
        <rFont val="Arial"/>
      </rPr>
      <t>For regular or subject-specific meetings relating to different aspects of the operation of the school and its services, use the relevant subject (e.g. TEACHING AND LEARNING).</t>
    </r>
  </si>
  <si>
    <r>
      <t xml:space="preserve">CAREERS - Provision of career advice, programs, information, services and events.  </t>
    </r>
    <r>
      <rPr>
        <i/>
        <sz val="9"/>
        <color theme="1"/>
        <rFont val="Arial"/>
      </rPr>
      <t>For work experience use STUDENT MANAGEMENT - WORK EXPERIENCE</t>
    </r>
  </si>
  <si>
    <r>
      <t>INDIVIDUAL - SUCCESSFUL - Individual student enrolment records -</t>
    </r>
    <r>
      <rPr>
        <sz val="9"/>
        <rFont val="Arial"/>
      </rPr>
      <t xml:space="preserve"> successful </t>
    </r>
  </si>
  <si>
    <r>
      <t>ESTABLISHMENT - Establishment of financial assistance programs, e.g. a scholarship.</t>
    </r>
    <r>
      <rPr>
        <sz val="9"/>
        <color rgb="FFFF0000"/>
        <rFont val="Arial"/>
      </rPr>
      <t xml:space="preserve"> </t>
    </r>
  </si>
  <si>
    <r>
      <rPr>
        <sz val="9"/>
        <rFont val="Arial"/>
      </rPr>
      <t xml:space="preserve">INDIVIDUAL AWARDS - Award of financial assistance to specific students, e.g  a scholarship, an allowance.  </t>
    </r>
    <r>
      <rPr>
        <i/>
        <sz val="9"/>
        <rFont val="Arial"/>
      </rPr>
      <t>For summary information use STUDENT MANAGEMENT - STUDENT MASTER RECORD</t>
    </r>
    <r>
      <rPr>
        <sz val="9"/>
        <rFont val="Arial"/>
      </rPr>
      <t xml:space="preserve">. </t>
    </r>
    <r>
      <rPr>
        <sz val="9"/>
        <color rgb="FFFF0000"/>
        <rFont val="Arial"/>
      </rPr>
      <t xml:space="preserve"> </t>
    </r>
  </si>
  <si>
    <r>
      <t xml:space="preserve">CHILD PROTECTION - Provision of a safe environment for students, within and outside the school, and for exchange students and international students.  </t>
    </r>
    <r>
      <rPr>
        <i/>
        <sz val="9"/>
        <color theme="1"/>
        <rFont val="Arial"/>
      </rPr>
      <t>For policies, framework, procedures, prevention programs use GOVERNANCE - CHILD PROTECTION.</t>
    </r>
  </si>
  <si>
    <r>
      <t xml:space="preserve">BEHAVIOUR - Actions relating to the conduct and behaviour of students both academically and non-academically.  </t>
    </r>
    <r>
      <rPr>
        <i/>
        <sz val="9"/>
        <color theme="1"/>
        <rFont val="Arial"/>
      </rPr>
      <t>For policies relating to student behaviour and discipline use GOVERNANCE - POLICIES and PROCEDURES.</t>
    </r>
  </si>
  <si>
    <r>
      <t xml:space="preserve">ARRANGEMENTS - Logistical and administrative arrangements for an excursion, visit etc.  </t>
    </r>
    <r>
      <rPr>
        <i/>
        <sz val="9"/>
        <color theme="1"/>
        <rFont val="Arial"/>
      </rPr>
      <t>For incidents affecting one or more students, use STUDENT MANAGEMENT - HEALTH AND WELFARE</t>
    </r>
  </si>
  <si>
    <r>
      <t xml:space="preserve">ARRANGEMENTS - Logistical and administrative arrangements. </t>
    </r>
    <r>
      <rPr>
        <i/>
        <sz val="9"/>
        <color theme="1"/>
        <rFont val="Arial"/>
      </rPr>
      <t xml:space="preserve"> For incidents affecting one or more students, use STUDENT MANAGEMENT - HEALTH AND WELFARE</t>
    </r>
  </si>
  <si>
    <r>
      <t xml:space="preserve">ARTS  - various types of creative arts (e.g. art, music, performances, competitions). </t>
    </r>
    <r>
      <rPr>
        <i/>
        <sz val="9"/>
        <color theme="1"/>
        <rFont val="Arial"/>
      </rPr>
      <t>For creative arts curriculum use TEACHING AND LEARNING - CURRICULUM</t>
    </r>
  </si>
  <si>
    <r>
      <t xml:space="preserve">DISTANCE EDUCATION - Program-level establishment and maintenance, including facilities, parent support.  </t>
    </r>
    <r>
      <rPr>
        <i/>
        <sz val="9"/>
        <color rgb="FF000000"/>
        <rFont val="Arial"/>
      </rPr>
      <t>For curriculum, use TEACHING AND LEARNING - CURRICULUM.  For assessment, use TEACHING AND LEARNING - ASSESSMENTS.  For student-related information use the relevant topic.</t>
    </r>
  </si>
  <si>
    <r>
      <t>ARRANGEMENT</t>
    </r>
    <r>
      <rPr>
        <sz val="9"/>
        <rFont val="Arial"/>
      </rPr>
      <t>S - Administrative arrangements for setting, holding and supervision of examinations or other assessments, including examination/ assessment materials.</t>
    </r>
  </si>
  <si>
    <r>
      <t xml:space="preserve">VISITS TO THE SCHOOL - Arrangements for visit to the school by organisations or individuals.   </t>
    </r>
    <r>
      <rPr>
        <i/>
        <sz val="9"/>
        <color theme="1"/>
        <rFont val="Arial"/>
      </rPr>
      <t>For visits by students to other schools use the relevant topic under STUDENT MANAGEMENT - ACTIVITIES.</t>
    </r>
  </si>
  <si>
    <t>GOVERNANCE</t>
  </si>
  <si>
    <t>STUDENT SERVICES</t>
  </si>
  <si>
    <t>STUDENT MANAGEMENT</t>
  </si>
  <si>
    <t>TEACHING AND LEARNING - Teaching and learning services provided to students at all levels, including distance and special education.</t>
  </si>
  <si>
    <t>COMMUNICATIONS  &amp; COMMUNITY RELATIONS</t>
  </si>
  <si>
    <t>PLANNING - Strategic planning, reporting and reviewing or evaluating processes, procedures and school standards.</t>
  </si>
  <si>
    <t>Admissions register (or equivalent)</t>
  </si>
  <si>
    <r>
      <t xml:space="preserve">TIMETABLES - Establishment of class timetables. </t>
    </r>
    <r>
      <rPr>
        <i/>
        <sz val="9"/>
        <color theme="1"/>
        <rFont val="Arial"/>
      </rPr>
      <t>For rostering of staff on camps, visits, sporting events etc, use ADMINISTRATION - HUMAN RESOURCES - ROSTERING</t>
    </r>
  </si>
  <si>
    <t>Designs, content, drafts, working papers, publication arrangements</t>
  </si>
  <si>
    <t>Invitations, notifications of events, acceptances</t>
  </si>
  <si>
    <t>Visitor books, photographs, records of administrative and logistical arrangements</t>
  </si>
  <si>
    <t xml:space="preserve">LEARNING ANALYTICS - Measurement, collection, analysis and reporting of student performance data to improve teaching and learning, and better manage individual students’ academic performance.  </t>
  </si>
  <si>
    <t>Destroy 3 years after obsolete or superseded</t>
  </si>
  <si>
    <r>
      <t xml:space="preserve">HEALTH AND WELFARE - The management of student health, safety, welfare, pastoral care and wellbeing.  </t>
    </r>
    <r>
      <rPr>
        <i/>
        <sz val="9"/>
        <color theme="1"/>
        <rFont val="Arial"/>
      </rPr>
      <t>For programs, plans, support services and activities use STUDENT SERVICES - HEALTH AND WELFARE</t>
    </r>
  </si>
  <si>
    <t xml:space="preserve">ADMINISTRATION - The organisation, administration and day-to-day running of the school. Includes enquiries, stores and equipment, finance, property (buildings, grounds, facilities), assets, works and services, information management, human resource management, administrative procedures (e.g. enrolments), security.   </t>
  </si>
  <si>
    <t>HIGH POTENTIAL PROGRAMS - Education programs specifically directed and provided to students recognised as gifted, talented and high potential.</t>
  </si>
  <si>
    <t>LIBRARY - Provision of library services, including collection acquisition, management (including loans), de-accessioning and student and staff support.</t>
  </si>
  <si>
    <t>Collection management records, guides/ instructions, lists of acquisitions and disposals, loan records</t>
  </si>
  <si>
    <t>ADMISSIONS - Activities connected with student admission, enrolment and transition, and student departures before the end of Year 12. Includes student census and specific measures associated with the management of admissions of individual students.</t>
  </si>
  <si>
    <t>SUMMARY - Summary of admissions/enrolments, and summary of departures pre Year 12</t>
  </si>
  <si>
    <t xml:space="preserve">INDIVIDUAL - DEPARTURES  - Individual student departure records, pre Year 12 </t>
  </si>
  <si>
    <t>Photographs, parent/ guardian permissions and approvals</t>
  </si>
  <si>
    <r>
      <t xml:space="preserve">HOUSE - Identification, membership, reports of houses. </t>
    </r>
    <r>
      <rPr>
        <i/>
        <sz val="9"/>
        <color theme="1"/>
        <rFont val="Arial"/>
      </rPr>
      <t>For activities use other topics under STUDENT MANAGEMENT - ACTIVITIES, or STUDENT MANAGEMENT - HEALTH AND WELFARE</t>
    </r>
  </si>
  <si>
    <r>
      <t xml:space="preserve">COMMUNITY RELATIONS - Communication between the school and the wider community, including the media.  Includes marketing campaigns, open days, handling of public reaction to the school's policy or actions, addresses at public events, social media activities.   </t>
    </r>
    <r>
      <rPr>
        <i/>
        <sz val="9"/>
        <color theme="1"/>
        <rFont val="Arial"/>
      </rPr>
      <t>For grievances from parents/guardians, use the relevant topic.</t>
    </r>
  </si>
  <si>
    <t>Membership lists</t>
  </si>
  <si>
    <t>SCHOOL-RELATED GROUPS</t>
  </si>
  <si>
    <r>
      <t>SCHOOL-RELATED GROUPS - Establishment, management, operation of school-related groups and their activities, such as Alumni, Parent Associations, Foundation, Ex-Student' Union.  Includes w</t>
    </r>
    <r>
      <rPr>
        <i/>
        <sz val="9"/>
        <color theme="1"/>
        <rFont val="Arial"/>
      </rPr>
      <t>here the school is responsible for, and administers an activity.  For financial records use ADMINISTRATION - FINANCE</t>
    </r>
  </si>
  <si>
    <t>School magazine, year books, school histories, photographs, printed publications, web publications, audiotapes, films, videos, fliers, posters.</t>
  </si>
  <si>
    <t xml:space="preserve">PUBLICATIONS - Production of various types of publications that record school development, school news and information, events, activities and history. </t>
  </si>
  <si>
    <t>Photographs, recordings, speeches, programs, posters, advertising</t>
  </si>
  <si>
    <r>
      <t xml:space="preserve">COMPLIANCE MONITORING - Formal review against standards of the governance, enrolments, curriculum and student performance, student welfare, staff employment and school infrastructure.  Includes external and internal assessment or review.  </t>
    </r>
    <r>
      <rPr>
        <i/>
        <sz val="9"/>
        <color theme="1"/>
        <rFont val="Arial"/>
      </rPr>
      <t>For routine financial or performance audits, use ADMINISTRATION - FINANCE - AUDIT.</t>
    </r>
  </si>
  <si>
    <t>Agreements with placement hosts, course/work structure, parent/guardian permissions, applications, evaluations, host reports</t>
  </si>
  <si>
    <t>School Performance Information reports; parent, staff and student surveys</t>
  </si>
  <si>
    <t>Copies that are not annotated; draft documents not needed once a final version has been produced; background notes, working papers and reference materials of no further use; copies of office notices and circulars; published material held solely for reference</t>
  </si>
  <si>
    <t>Applications, code of conduct</t>
  </si>
  <si>
    <r>
      <t xml:space="preserve">AGGREGATED DATA AND ANALYSIS -  Data collected and analysed that is used for routine reporting, predictive modelling, identifying gaps and opportunities for improvement. </t>
    </r>
    <r>
      <rPr>
        <i/>
        <sz val="9"/>
        <color rgb="FF000000"/>
        <rFont val="Arial"/>
      </rPr>
      <t>For reports or other outcomes that affect curriculum and program development, use TEACHING AND LEARNING - CURRICULUM, OR TEACHING AND LEARNING - SPECIAL EDUCATION.</t>
    </r>
  </si>
  <si>
    <t>Disposal Action</t>
  </si>
  <si>
    <t>INDIVIDUAL - UNSUCCESSFUL - Individual student enrolment records - unsuccessful - Applications for enrolment that are unsuccessful or the applicants did not commence at the school.</t>
  </si>
  <si>
    <t>UNSUCCESSFUL - unsuccessful tenders or a tender/contracting process where there is no suitable provider, or where the tender/contracting process has been discontinued</t>
  </si>
  <si>
    <t>Destroy 2 years after tender process completed or discontinued</t>
  </si>
  <si>
    <t>REGISTER - Summary of all agreements/contracts entered into by the school</t>
  </si>
  <si>
    <t>Contracts register or system</t>
  </si>
  <si>
    <t>Specifications; tender and negotiation records; quotations; assessments of tenders; final agreements/ contracts; service level agreements</t>
  </si>
  <si>
    <t>Final agreements/ contracts; service level agreements; tender and negotiation records</t>
  </si>
  <si>
    <t>Destroy 15 years after agreement/ contract expires</t>
  </si>
  <si>
    <r>
      <t xml:space="preserve">OUT OF HOURS CARE - Provision of care facilities to students outside of school hours. Includes before and after school care, vacation care and pupil free days.  </t>
    </r>
    <r>
      <rPr>
        <i/>
        <sz val="9"/>
        <color theme="1"/>
        <rFont val="Arial"/>
      </rPr>
      <t xml:space="preserve">For individual student health and welfare issues, incidents and accident management use STUDENT MANAGEMENT- HEALTH AND WELFARE. </t>
    </r>
  </si>
  <si>
    <r>
      <t xml:space="preserve">CO-CURRICULAR ACTIVITIES - Management of programs, activities and learning experiences that complement the academic curriculum. These may take place within or outside the school, after regular school hours, and may be operated by outside organisations. Examples include: sporting events, camps, visits, clubs, cadets, debating. </t>
    </r>
    <r>
      <rPr>
        <i/>
        <sz val="9"/>
        <color theme="1"/>
        <rFont val="Arial"/>
      </rPr>
      <t>For incidents affecting one or more students, use STUDENT MANAGEMENT - HEALTH AND WELFARE.  For similar activities within the academic curriculum, use TEACHING AND LEARNING - CURRICULUM.  For records of significant achievement, use STUDENT MANAGEMENT - AWARDS.  For the rostering of staff on camps, visits etc, use ADMINISTRATION - HUMAN RESOURCES - ROSTERING.</t>
    </r>
  </si>
  <si>
    <t>STUDENTS IN OUT-OF-HOME-CARE - Summary for students who are living, or have lived in orphanages, children's homes or with alternative care-givers.</t>
  </si>
  <si>
    <t>Destroy 75 years from date of birth</t>
  </si>
  <si>
    <t>SUPPORTING RECORDS for STUDENT MASTER RECORD - Supporting records for individual students covering a range of student management activities - where a summary exists</t>
  </si>
  <si>
    <t>Destroy 25 years from date of birth</t>
  </si>
  <si>
    <t>Destroy 75 years after last entry</t>
  </si>
  <si>
    <t>FINANCE - Management of the school’s financial resources</t>
  </si>
  <si>
    <t>Destroy 7 years after end of financial year in which the record was created</t>
  </si>
  <si>
    <t>Annual financial statements, statutory financial reports, balance sheets, operating statements, cash flow statements and accompanying notes</t>
  </si>
  <si>
    <t>Accounts payable; accounts receivable; routine financial statements and reports; credit notices; petty cash records; cash books; journals; ledgers and other records of prime entry; bank deposit records; bank statements; bank reconciliation statements; investment and dividend statements; credit card statements; interim financial statements</t>
  </si>
  <si>
    <t>Destroy 7 years after account closed</t>
  </si>
  <si>
    <t>Destroy 7 years after audit results accepted</t>
  </si>
  <si>
    <t xml:space="preserve">REGISTER - Summary listing the school's assets. </t>
  </si>
  <si>
    <t>Asset register</t>
  </si>
  <si>
    <t xml:space="preserve">VALUATIONS - asset valuation and asset management processes. </t>
  </si>
  <si>
    <t>Destroy 7 years after action completed</t>
  </si>
  <si>
    <t>Advices for inclusion on the asset register, valuation reports</t>
  </si>
  <si>
    <t>BUDGETING - Compilation of annual budgets</t>
  </si>
  <si>
    <t>Destroy 7 years after end of financial year to which the application relates</t>
  </si>
  <si>
    <t>Submissions; agreements; supporting correspondence</t>
  </si>
  <si>
    <t>FEES - Setting of fees and charges for school services, programs, etc</t>
  </si>
  <si>
    <t>Destroy 7 years after end of financial year to which the fees relate</t>
  </si>
  <si>
    <t>Destroy 5 years after end of financial year in which the record was created</t>
  </si>
  <si>
    <t>Tax assessments, instalment notices, payments.</t>
  </si>
  <si>
    <t>INSURANCE - Insurances taken out to cover loss or damage to property or premises, and to cover visitors, students and employees against injury or death resulting from incidents on the school’s premises or whilst engaged during employment.</t>
  </si>
  <si>
    <t xml:space="preserve">POLICIES - Administration of various insurances taken out by the school, including property, contents, vehicles, public liability, professional indemnity, workers compensation. </t>
  </si>
  <si>
    <t>Destroy 7 years after claim resolved</t>
  </si>
  <si>
    <t>Legal documents relating to a purchase / sale; particulars of sale documents; board of survey; deeds and certificates; conditions of contracts; certificates of approval; photographs</t>
  </si>
  <si>
    <t>REFURBISHMENT - Routine refurbishment of property that does not affect its overall structure or design</t>
  </si>
  <si>
    <t>Destroy 10 years after action completed</t>
  </si>
  <si>
    <t xml:space="preserve">MAINTENANCE - Upkeep, repair and maintenance of property, including e.g. cleaning, painting, repairs, grounds maintenance and electrical maintenance. </t>
  </si>
  <si>
    <t>Operating and maintenance manuals, test results and service log sheets for equipment including cooling towers; commissioning of refurbishment works</t>
  </si>
  <si>
    <t>HAZARDOUS MATERIALS - Identification and management of hazardous materials and stores.</t>
  </si>
  <si>
    <t>BUILDING MATERIALS - Identification, removal and disposal of hazardous materials from the fabric of a building, e.g. asbestos</t>
  </si>
  <si>
    <t>Destroy 100 years after removal of hazardous materials</t>
  </si>
  <si>
    <t xml:space="preserve">NON-BUILDING MATERIALS - Removal, storage and disposal of hazardous waste and materials that are not from the fabric of building, e.g. chemicals or pesticides. </t>
  </si>
  <si>
    <t>Destroy 30 years after removal of hazardous waste</t>
  </si>
  <si>
    <t xml:space="preserve">REGISTER - Summary of hazardous substances (including asbestos) identifying substance properties and their condition. </t>
  </si>
  <si>
    <t>Destroy 100 years after last entry.</t>
  </si>
  <si>
    <t xml:space="preserve">NON-TOXIC WASTE - Management and disposal of non-toxic waste. </t>
  </si>
  <si>
    <t>Destroy 2 years after waste disposed of</t>
  </si>
  <si>
    <t>Records of accidents and damage to property; records of incidents of illegal entry resulting in damage and/or theft; register of keys</t>
  </si>
  <si>
    <t>Requests for quotations; orders; handover reports; correspondence</t>
  </si>
  <si>
    <t>DISPOSAL - Disposal of equipment and stores no longer required, by sale, transfer, termination of lease, auction, donation or destruction.</t>
  </si>
  <si>
    <t>Service and maintenance records</t>
  </si>
  <si>
    <t>MAINTENANCE - Upkeep, repair, servicing, modification and preservation of internal/external condition of equipment</t>
  </si>
  <si>
    <t>Destroy 2 years after action completed</t>
  </si>
  <si>
    <t>Destroy  2 years after action completed</t>
  </si>
  <si>
    <t>Destroy 2years after action completed</t>
  </si>
  <si>
    <t>Destroy 7 years after action completed and audit</t>
  </si>
  <si>
    <t>Destroy 2 years after action completed or instruction superseded</t>
  </si>
  <si>
    <t>Destroy 7 after action completed</t>
  </si>
  <si>
    <t>Destroy 7 years after hiring arrangement expired</t>
  </si>
  <si>
    <t>INFORMATION MANAGEMENT - Management and maintenance of school information, including recordkeeping, archives, intellectual property, information systems and technology infrastructure.</t>
  </si>
  <si>
    <t>INTELLECTUAL PROPERTY - Evidence of rights and entitlements over intellectual property owned by the school.</t>
  </si>
  <si>
    <t xml:space="preserve">Destroy 7 years after equipment, system or services are decommissioned. </t>
  </si>
  <si>
    <t>IMPLEMENTATION - Implementation of hardware, communications and systems. Includes preliminary studies, system development, testing, modification.</t>
  </si>
  <si>
    <t>Destroy 5 years after implementation completed and accepted</t>
  </si>
  <si>
    <t>Feasibility studies; technical manuals; business rules; user requirements; system specifications</t>
  </si>
  <si>
    <t>MANAGEMENT - Ongoing management and maintenance of information technology and systems, including database management. Includes system controls, configuration management, security /protection from damage or unauthorised access, routine fixes and upgrades.</t>
  </si>
  <si>
    <t xml:space="preserve">Destroy 7 years after equipment or system is decommissioned. </t>
  </si>
  <si>
    <t xml:space="preserve">FACILITY HIRE - Hiring out of school facilities (e.g. hall, sports centre) for non-school purposes. </t>
  </si>
  <si>
    <t>BREACHES - Management of breaches detected, or arising from a complaint.</t>
  </si>
  <si>
    <t>Destroy 15 years after case concluded</t>
  </si>
  <si>
    <t>Complaints; investigations; reports</t>
  </si>
  <si>
    <t>UNFOUNDED COMPLAINTS -  Management of complaints that do not result in a privacy breach.</t>
  </si>
  <si>
    <t>Destroy 2 years after complaint resolved</t>
  </si>
  <si>
    <t>RECORDKEEPING AND ARCHIVES - Management and maintenance of school systems that keep records, and archival collections.</t>
  </si>
  <si>
    <t xml:space="preserve">CONTROLS - Master control records for recordkeeping systems and archival collections.  </t>
  </si>
  <si>
    <t>Information systems; registers; indexes; system configuration manuals; records destruction lists</t>
  </si>
  <si>
    <t>DONATIONS AND LOANS - Formal arrangements for receipt or refusal of donations or loans of material from external sources.</t>
  </si>
  <si>
    <t xml:space="preserve">CONSERVATION - Activities involved in the preservation, protection, maintenance, restoration and enhancement of information resources and artefacts.  </t>
  </si>
  <si>
    <t>Destroy after reference ceases</t>
  </si>
  <si>
    <t>Deeds of gift; loan agreements; collection management policy</t>
  </si>
  <si>
    <t>Destroy 7 years after administrative use has concluded.</t>
  </si>
  <si>
    <t>HUMAN RESOURCES - Management of school staff, including statutory appointments, trainees, contractors and volunteers.</t>
  </si>
  <si>
    <t>ADMINISTRATION</t>
  </si>
  <si>
    <t>POSITIONS - Creation, variation, abolition of positions and assigned duties.</t>
  </si>
  <si>
    <t>Destroy 7 years after position superseded</t>
  </si>
  <si>
    <t>Organisation charts; position descriptions (or equivalent)</t>
  </si>
  <si>
    <t>RECRUITMENT - Recruitment to positions, including advertising positions, handling of applications, interviews, selection and appointment. Includes recruitment of volunteers.</t>
  </si>
  <si>
    <t xml:space="preserve">RECRUITMENT PROCESS -  for all positions, e.g. shortlisting, arranging interviews etc. </t>
  </si>
  <si>
    <t>Destroy 2 years after process finalised</t>
  </si>
  <si>
    <t>Destroy 1 year after process finalised</t>
  </si>
  <si>
    <t>Position description; application; evidence of registration and relevant checks; contract; employment history</t>
  </si>
  <si>
    <t>Copies of applications; interview schedule; shortlists of applicants</t>
  </si>
  <si>
    <t>COUNSELLING - Provision of advice or guidance to staff for various reasons, including trauma counselling.</t>
  </si>
  <si>
    <r>
      <t xml:space="preserve">ALLOWANCES - Arranging and managing money paid to employees in addition to salary to cover expenses, e.g. travel allowances. </t>
    </r>
    <r>
      <rPr>
        <i/>
        <sz val="9"/>
        <color theme="1"/>
        <rFont val="Arial"/>
      </rPr>
      <t>For payroll records, use ADMINISTRATION - FINANCE - ACCOUNTING</t>
    </r>
  </si>
  <si>
    <t xml:space="preserve">CONFERENCES AND SEMINARS - Staff attendance at external conferences, seminars or similar  </t>
  </si>
  <si>
    <t>Registration forms, conference materials and proceedings, participants' reports</t>
  </si>
  <si>
    <t xml:space="preserve">EVALUATION and PLANNING - Assessment of staff development needs, services or programs available, development and implementation of staff development plans.  </t>
  </si>
  <si>
    <t>Accident register; reports</t>
  </si>
  <si>
    <t>Incident reports; results of investigations; claims; medical details; correspondence with insurer; return to work plans</t>
  </si>
  <si>
    <t>AUDIT - Conduct of external or internal OH&amp;S audits and inspections</t>
  </si>
  <si>
    <t>Destroy 10 years after audit/inspection completed</t>
  </si>
  <si>
    <t>Tender documentation; heritage and environmental reports; drawings;, plans; specifications; submissions to planning authorities; soil tests; photographs</t>
  </si>
  <si>
    <t>Human resources management system; Register of register of family day care educators, educator assistants and  coordinators as per the Education and Care Services National Law</t>
  </si>
  <si>
    <t>ROSTERING - Allocation of teachers or supervisors to camps, visits, sporting events, excursions etc</t>
  </si>
  <si>
    <t xml:space="preserve">ENQUIRIES - Enquiries and messages of appreciation or suggestions from external sources (e.g. parents of prospective students, the public). </t>
  </si>
  <si>
    <t>COMPENSATION - Management of claims for compensation submitted for personal injury of a staff member, contractor, volunteer or visitor. Includes the rehabilitation of injured workers.</t>
  </si>
  <si>
    <t>LEGAL SERVICES</t>
  </si>
  <si>
    <t>EQUIPMENT AND STORES - Acquisition, maintenance, repair and disposal of equipment and stores. Includes: instruments, implements, tools, machines, computers, plant, furniture, furnishings, fixtures and fittings, chemicals, hardware items, kitchen/cleaning items, medical supplies and stationery.  For the management of hazardous materials, use ADMINISTRATION - PROPERTY - HAZARDOUS MATERIALS.</t>
  </si>
  <si>
    <t>FOOD SERVICES - Management and operation of food services such as school canteen, tuck-shop. Includes stock control, licenses and compliance with food safety requirements.</t>
  </si>
  <si>
    <r>
      <t xml:space="preserve">PROGRAM ESTABLISHMENT - Establishment and major review of specific programs. </t>
    </r>
    <r>
      <rPr>
        <i/>
        <sz val="9"/>
        <color theme="1"/>
        <rFont val="Arial"/>
      </rPr>
      <t>For minor reviews or changes, use the relevant CO-CURRICULAR ACTIVITY topic - ARRANGEMENTS</t>
    </r>
  </si>
  <si>
    <r>
      <t xml:space="preserve">ACCOUNTING - Accounting records and associated supporting records related to managing the school's revenue and expenditure. Includes accounts payable and receivable, (including bequests, grant funding, donations, fundraising), banking records, payroll, debt recovery.  </t>
    </r>
    <r>
      <rPr>
        <i/>
        <sz val="9"/>
        <color theme="1"/>
        <rFont val="Arial"/>
      </rPr>
      <t>For records such as employee group certificates and tax declaration forms, use HUMAN RESOURCES - SALARIES.  For fund raising activities, use SCHOOL-RELATED GROUPS - ACTIVITIES</t>
    </r>
  </si>
  <si>
    <r>
      <t xml:space="preserve">BANKING - Establishment and closure of bank accounts, including investment accounts.  </t>
    </r>
    <r>
      <rPr>
        <i/>
        <sz val="9"/>
        <color theme="1"/>
        <rFont val="Arial"/>
      </rPr>
      <t>For records of banking transactions, use ADMINISTRATION - FINANCE - ACCOUNTING.</t>
    </r>
  </si>
  <si>
    <r>
      <t xml:space="preserve">ASSETS - Financial management of capital assets such as buildings, facilities, grounds, vehicles, equipment.  </t>
    </r>
    <r>
      <rPr>
        <i/>
        <sz val="9"/>
        <color theme="1"/>
        <rFont val="Arial"/>
      </rPr>
      <t>For physical management of assets, use ADMINISTRATION - PROPERTY</t>
    </r>
    <r>
      <rPr>
        <sz val="9"/>
        <color theme="1"/>
        <rFont val="Arial"/>
      </rPr>
      <t>.</t>
    </r>
  </si>
  <si>
    <r>
      <t xml:space="preserve">FUNDING - Successful and unsuccessful applications for grant or other funding. </t>
    </r>
    <r>
      <rPr>
        <i/>
        <sz val="9"/>
        <color theme="1"/>
        <rFont val="Arial"/>
      </rPr>
      <t>For the management of funding received, use ADMINISTRATION - FINANCE - ACCOUNTING</t>
    </r>
    <r>
      <rPr>
        <sz val="9"/>
        <color theme="1"/>
        <rFont val="Arial"/>
      </rPr>
      <t>.</t>
    </r>
  </si>
  <si>
    <r>
      <t xml:space="preserve">TAXATION - Administration of taxation matters, including income tax, land tax, payroll tax, goods and services tax, fringe benefits tax and any other taxes. Includes payment of taxes.  </t>
    </r>
    <r>
      <rPr>
        <i/>
        <sz val="9"/>
        <color theme="1"/>
        <rFont val="Arial"/>
      </rPr>
      <t>For records such as employee group certificates and tax declaration forms, use ADMINISTRATION - HUMAN RESOURCES - SALARIES.</t>
    </r>
  </si>
  <si>
    <r>
      <t xml:space="preserve">CLAIMS - Management of claims against school insurance policies, other than Workers Compensation claims.  </t>
    </r>
    <r>
      <rPr>
        <i/>
        <sz val="9"/>
        <color theme="1"/>
        <rFont val="Arial"/>
      </rPr>
      <t xml:space="preserve">For  Workers Compensation claims, use ADMINISTRATION - OH&amp;S - COMPENSATION.  </t>
    </r>
  </si>
  <si>
    <r>
      <t xml:space="preserve">PROPERTY -  Management of the school's physical assets, such as grounds, buildings and facilities. Includes acquisition and disposal of assets, maintenance, works and security of physical assets. </t>
    </r>
    <r>
      <rPr>
        <i/>
        <sz val="9"/>
        <color theme="1"/>
        <rFont val="Arial"/>
      </rPr>
      <t xml:space="preserve"> For financial management of capital assets, use ADMINISTRATION - FINANCE - ASSETS.</t>
    </r>
  </si>
  <si>
    <r>
      <t xml:space="preserve">ACQUISITION AND DISPOSAL - Acquisition and disposal of land or buildings. Includes acquisition through purchase, donation, bequest or other forms of acquisition. </t>
    </r>
    <r>
      <rPr>
        <i/>
        <sz val="9"/>
        <color theme="1"/>
        <rFont val="Arial"/>
      </rPr>
      <t>For acquisition and disposal of assets other than land or buildings, use ADMINISTRATION  PROPERTY- EQUIPMENT AND STORES.</t>
    </r>
  </si>
  <si>
    <r>
      <t xml:space="preserve">CONSTRUCTION AND RENOVATION - Building a new structure, or undertaking renovation that affects the overall structure or design of the property, including grounds.  </t>
    </r>
    <r>
      <rPr>
        <i/>
        <sz val="9"/>
        <color theme="1"/>
        <rFont val="Arial"/>
      </rPr>
      <t>For routine refurbishment of property that does not affect its overall structure or design, use ADMINISTRATION - PROPERTY - REFURBISHMENT.  For contracts/agreements relating to the construction, major renovation or repair of buildings, grounds and facilities, use GOVERNANCE - AGREEMENTS.</t>
    </r>
  </si>
  <si>
    <r>
      <t xml:space="preserve">SECURITY - Measures taken to protect people, premises, equipment or facilities from accidental or intentional damage or from unauthorised access. </t>
    </r>
    <r>
      <rPr>
        <i/>
        <sz val="9"/>
        <color theme="1"/>
        <rFont val="Arial"/>
      </rPr>
      <t xml:space="preserve"> For security of information systems, use ADMINISTRATION - INFORMATION MANAGEMENT-INFORMATION TECHNOLOGY AND SYSTEMS-MAINTENANCE.  For security checks on staff, volunteers or contractors, use ADMINISTRATION - HUMAN RESOURCES - STAFF HISTORY. </t>
    </r>
  </si>
  <si>
    <r>
      <t xml:space="preserve">ACQUISITION - Acquisition of equipment and stores where there is no tender or contracting-out process. </t>
    </r>
    <r>
      <rPr>
        <i/>
        <sz val="9"/>
        <color theme="1"/>
        <rFont val="Arial"/>
      </rPr>
      <t>For those requiring tenders or contracts, use ADMINISTRATION -  AGREEMENTS.  For the financial transactions, use ADMINISTRATION -FINANCE- ACCOUNTING</t>
    </r>
  </si>
  <si>
    <r>
      <t xml:space="preserve">INFORMATION TECHNOLOGY AND SYSTEMS - Acquisition and implementation of IT infrastructure, telecommunications, applications and systems to support the business needs of the school.  </t>
    </r>
    <r>
      <rPr>
        <i/>
        <sz val="9"/>
        <color theme="1"/>
        <rFont val="Arial"/>
      </rPr>
      <t>For the financial transactions and write offs, use ADMINISTRATION - FINANCE - ACCOUNTING.  For disposal of equipment,   use ADMINISTRATION, PROPERTY-EQUIPMENT AND STORES-DISPOSAL</t>
    </r>
  </si>
  <si>
    <r>
      <t xml:space="preserve">ACQUISITION - Acquisition of technology and telecommunication equipment, systems and services, where there is no tender or contracting-out process.  Includes licences. </t>
    </r>
    <r>
      <rPr>
        <i/>
        <sz val="9"/>
        <color theme="1"/>
        <rFont val="Arial"/>
      </rPr>
      <t>For services or systems contracted out, use ADMINISTRATION - AGREEMENTS.</t>
    </r>
  </si>
  <si>
    <r>
      <t xml:space="preserve">PRIVACY - Activities involved in ensuring the school meets its obligations under the Privacy Act 1998.  </t>
    </r>
    <r>
      <rPr>
        <i/>
        <sz val="9"/>
        <color theme="1"/>
        <rFont val="Arial"/>
      </rPr>
      <t>For school policies and procedures for information privacy, use GOVERNANCE - POLICIES AND PROCEDURES.  For requests made in relation to access to or correction of personal information held by the school, use STUDENT MANAGEMENT - STUDENT MASTER RECORD, or ADMINISTRATION - HUMAN RESOURCES - STAFF HISTORY.</t>
    </r>
  </si>
  <si>
    <r>
      <t xml:space="preserve">REFERENCE SERVICES - Provision of research and reference services in response to internal and external enquiries or specific projects. </t>
    </r>
    <r>
      <rPr>
        <i/>
        <sz val="9"/>
        <color theme="1"/>
        <rFont val="Arial"/>
      </rPr>
      <t xml:space="preserve">For material that is used elsewhere, e.g. in a school publication, use EPHEMERA. </t>
    </r>
  </si>
  <si>
    <r>
      <t xml:space="preserve">STORAGE - Management of the storage of information resources including off-site or cloud storage. </t>
    </r>
    <r>
      <rPr>
        <i/>
        <sz val="9"/>
        <color theme="1"/>
        <rFont val="Arial"/>
      </rPr>
      <t>For the commissioning of storage services, use ADMINISTRATION - AGREEMENTS. For financial records, use ADMINISTRATION - FINANCE – ACCOUNTING</t>
    </r>
  </si>
  <si>
    <r>
      <t xml:space="preserve">UNSUCCESSFUL APPLICATIONS.  </t>
    </r>
    <r>
      <rPr>
        <i/>
        <sz val="9"/>
        <color theme="1"/>
        <rFont val="Arial"/>
      </rPr>
      <t>For successful applications, use ADMINISTRATION - HUMAN RESOURCES - STAFF HISTORY</t>
    </r>
  </si>
  <si>
    <r>
      <t xml:space="preserve">SALARIES - Documentation of employees' salaries. Includes taxation declaration records, group certificates, payroll deduction authorities, records relating to the recovery of overpayments, and employee pay history and leave records.  </t>
    </r>
    <r>
      <rPr>
        <i/>
        <sz val="9"/>
        <color theme="1"/>
        <rFont val="Arial"/>
      </rPr>
      <t>For payroll records, use ADMINISTRATION - FINANCE - ACCOUNTING</t>
    </r>
    <r>
      <rPr>
        <sz val="9"/>
        <color theme="1"/>
        <rFont val="Arial"/>
      </rPr>
      <t>.</t>
    </r>
  </si>
  <si>
    <r>
      <t xml:space="preserve">OCCUPATIONAL HEALTH AND SAFETY (OH&amp;S) - Implementation and coordination of OH&amp;S programs. Includes safety policy and the monitoring of safe work practices, procedures and preventative measures.   </t>
    </r>
    <r>
      <rPr>
        <i/>
        <sz val="9"/>
        <color theme="1"/>
        <rFont val="Arial"/>
      </rPr>
      <t>For the identification and management of hazardous materials and stores, use ADMINISTRATION - PROPERTY - HAZARDOUS MATERIALS</t>
    </r>
    <r>
      <rPr>
        <sz val="9"/>
        <color theme="1"/>
        <rFont val="Arial"/>
      </rPr>
      <t>.</t>
    </r>
  </si>
  <si>
    <t xml:space="preserve">AGREEMENTS - Establishment, maintenance, review and negotiation of enterprise workplace agreements set by the school.  </t>
  </si>
  <si>
    <t xml:space="preserve">AGREEMENTS - Establishment and maintenance of enterprise workplace agreements set by a peak body.  </t>
  </si>
  <si>
    <t xml:space="preserve">Destroy 2 years after agreement superseded </t>
  </si>
  <si>
    <t>Destroy 75 years after the event</t>
  </si>
  <si>
    <t>ADVICE – Seeking and receiving legal advice on any matter</t>
  </si>
  <si>
    <t>LITIGATION - Managing lawsuits or legal proceedings between the school and other parties in a court or other tribunal</t>
  </si>
  <si>
    <t>MAJOR ISSUES - Advice on issues of public interest or controversy, or which results in a change to school policy</t>
  </si>
  <si>
    <t>Destroy 20 years after matter resolved</t>
  </si>
  <si>
    <t xml:space="preserve"> Destroy 15 years after case resolved</t>
  </si>
  <si>
    <t>MAJOR MATTERS - Matters where legal precedents are set, or are of public interest or controversy, or lead to a change in school policy -  Permanent</t>
  </si>
  <si>
    <t>OTHER ISSUES – Advice on issues that are not of public interest or controversy</t>
  </si>
  <si>
    <t>OTHER MATTERS - that are not of public interest or controversy</t>
  </si>
  <si>
    <t>EMPLOYMENT HISTORY - SUMMARY MAINTAINED - Employment history records for individual staff members, contractors and volunteers where a summary record is also maintained.</t>
  </si>
  <si>
    <t>EMPLOYMENT HISTORY - SUMMARY NOT MAINTAINED - Employment history for individual staff members, contractors and volunteers where a summary record is not maintained.</t>
  </si>
  <si>
    <t xml:space="preserve">Retain permanently </t>
  </si>
  <si>
    <t>STAFF DEVELOPMENT - Development of staff skills and abilities (through activities, programs and events) to maximise their potential and increase their productivity. Includes identifying and implementing all aspects of training needs and programs (internal and external) available to staff, including staff of other schools.</t>
  </si>
  <si>
    <t>Summary of curriculum content; syllabus; teaching objectives; assessment methods;  course, subject or unit descriptions and delivery methods</t>
  </si>
  <si>
    <r>
      <t xml:space="preserve">INCIDENTS - Investigation and reporting on dangerous occurrences, any accidents or incidents where personal injury and incapacity of a staff member,  contractor or visitor occurred on the school's premises, or for staff and contractors while travelling on duty.  </t>
    </r>
    <r>
      <rPr>
        <i/>
        <sz val="9"/>
        <color theme="1"/>
        <rFont val="Arial"/>
      </rPr>
      <t>For all claims for workers compensation, use ADMINISTRATION - OH&amp;S - COMPENSATION.</t>
    </r>
  </si>
  <si>
    <t>Roll books/registers; attendance database; certificates of attendance; notices of non attendance; sign-in/ out register</t>
  </si>
  <si>
    <r>
      <t xml:space="preserve">SCHOOL ANIMAL &amp; CROP MANAGEMENT - Activities relating to the breeding, care, use, protection and disposal of animals and animal body parts or specimens, and the planting, growth, maintenance, use, protection and disposal of plant material or specimens for educational purposes. </t>
    </r>
    <r>
      <rPr>
        <i/>
        <sz val="9"/>
        <color theme="1"/>
        <rFont val="Arial"/>
      </rPr>
      <t>For the management of hazardous materials, use ADMINISTRATION - PROPERTY - HAZARDOUS MATERIALS.</t>
    </r>
  </si>
  <si>
    <t>Destroy 2 years after program superseded or discontinued</t>
  </si>
  <si>
    <t>Copies of certificates, academic transcripts or similar, requests for transcripts</t>
  </si>
  <si>
    <r>
      <t xml:space="preserve">CERTIFICATES - Copies of certificates, academic transcripts given to students, parents or guardians. </t>
    </r>
    <r>
      <rPr>
        <i/>
        <sz val="9"/>
        <color theme="1"/>
        <rFont val="Arial"/>
      </rPr>
      <t xml:space="preserve">For the Year 12 School Reference, use STUDENT MANAGEMENT - MASTER STUDENT RECORD.    </t>
    </r>
  </si>
  <si>
    <t>Formal group photographs; other photographs; newspaper cuttings</t>
  </si>
  <si>
    <r>
      <t xml:space="preserve">PUBLICATION - Final copy of a school publication. </t>
    </r>
    <r>
      <rPr>
        <i/>
        <sz val="9"/>
        <color theme="1"/>
        <rFont val="Arial"/>
      </rPr>
      <t>For formal group photographs, use OBJECTS.</t>
    </r>
  </si>
  <si>
    <t>Arrangements for audit; reports</t>
  </si>
  <si>
    <t>Budget calculations; final budget</t>
  </si>
  <si>
    <t>Working With Children Checks; criminal history checks</t>
  </si>
  <si>
    <t>Training needs analysis; staff development plans</t>
  </si>
  <si>
    <t>Rosters</t>
  </si>
  <si>
    <t>Registration certificates (or equivalent); assessment reports; food safety program</t>
  </si>
  <si>
    <t>Inventories; equipment monitoring results</t>
  </si>
  <si>
    <t>Investigations and reports</t>
  </si>
  <si>
    <r>
      <t xml:space="preserve">AUDIT - Conduct and reporting of financial or performance audits by internal and external parties. </t>
    </r>
    <r>
      <rPr>
        <i/>
        <sz val="9"/>
        <color theme="1"/>
        <rFont val="Arial"/>
      </rPr>
      <t>For the statutory School Performance Information report, use GOVERNANCE - REPORTING.</t>
    </r>
  </si>
  <si>
    <t>Calculations; final fee schedule; exceptions</t>
  </si>
  <si>
    <t>Enquires and requests for information; research results; responses; summaries</t>
  </si>
  <si>
    <t>Destroy 7 years after accreditation expires or is revoked, or course is discontinued</t>
  </si>
  <si>
    <r>
      <t>STUDENT SERVICES - the development, operation and monitoring of student services and support programs. Includes counselling, guidance and clinical services, special education units, accommodation, disability and impairment, outsourced professionals and other specialist services.</t>
    </r>
    <r>
      <rPr>
        <i/>
        <sz val="9"/>
        <color theme="1"/>
        <rFont val="Arial"/>
      </rPr>
      <t xml:space="preserve"> For the management of specific cases, use the relevant topic under STUDENT MANAGEMENT.</t>
    </r>
  </si>
  <si>
    <r>
      <t xml:space="preserve">COMMUNICATIONS  &amp; COMMUNITY RELATIONS - Communications within the school, between the school and the community, and between the school and school-related bodies. Includes communications, advertising, publications, celebrations and visits. </t>
    </r>
    <r>
      <rPr>
        <i/>
        <sz val="9"/>
        <color theme="1"/>
        <rFont val="Arial"/>
      </rPr>
      <t>For development and protection of the School's corporate identity, use GOVERNANCE - CORPORATE IDENTITY</t>
    </r>
  </si>
  <si>
    <t xml:space="preserve">SECURITY CHECKS - Security checks (e.g. criminal history, Working with Children) carried out as part of pre-engagement, pre-employment and pre-appointment checks of staff, contractors, volunteers, employers of work experience students, religious instructors or any other person likely to be in contact with students. Includes periodic reviews. </t>
  </si>
  <si>
    <t>INTERNATIONAL BACCALAUREATE (IB) - Management and delivery of the IB program and curriculum.  For student results, use TEACHING AND LEARNING - EXAMINATIONS, or ASSESSMENTS.  For becoming an authorised IB school, use GOVERNANCE - REGULATION.</t>
  </si>
  <si>
    <t>Examples of Records</t>
  </si>
  <si>
    <r>
      <t xml:space="preserve">REGULATION - Accreditation, registration,  licensing, approval and regulation of the school to be an educational provider, including family day care educator.   Includes registration as a student exchange organisation, a Registered Training Organisation and as an International Baccalaureate school. Includes its approvals for courses. </t>
    </r>
    <r>
      <rPr>
        <i/>
        <sz val="9"/>
        <rFont val="Arial"/>
      </rPr>
      <t>For the registration of teachers use ADMINISTRATION - HUMAN RESOURCES - APPOINTMENTS.</t>
    </r>
  </si>
  <si>
    <t>DELEGATIONS &amp; AUTHORISATIONS - Delegations of power to staff to authorise financial or other decision-making and transactions.</t>
  </si>
  <si>
    <t>AGREEMENTS/ CONTRACTS - Establishment, maintenance, review and negotiation of agreements with external organisations for the provision of services. Includes arranging, procuring and managing the performance of work or the provision of services by an external party (e.g. contractor, services company, consultant). For the financial transactions, use ADMINISTRATION - FINANCE.  For records that result from the actual work or services provided by an external party where the school has responsibility or duty of care, use the subject to which they specifically relate (e.g. out of hours care, food services, records storage).</t>
  </si>
  <si>
    <r>
      <t xml:space="preserve">SUCCESSFUL - MAJOR - Negotiation, establishment and maintenance of major agreements with external organisations relating to the provision of services. Examples include: educational or student welfare;  out of hours care; accommodation services; major buildings and works; funding; uniform shop; book shop; printing, cloud-based information systems.   </t>
    </r>
    <r>
      <rPr>
        <i/>
        <sz val="9"/>
        <rFont val="Arial"/>
      </rPr>
      <t>For staff employment agreements (or similar) use ADMINISTRATION - HUMAN RESOURCES - AGREEMENTS.</t>
    </r>
  </si>
  <si>
    <t>SUCCESSFUL MINOR - Establishment and maintenance of minor agreements with external organisations for small scale-service provision.</t>
  </si>
  <si>
    <r>
      <t xml:space="preserve">SUBMISSIONS - Submissions to external organisations, including regulatory bodies and government inquiries, on issues relevant to the core responsibilities of the school. </t>
    </r>
    <r>
      <rPr>
        <i/>
        <sz val="9"/>
        <rFont val="Arial"/>
      </rPr>
      <t>For advice provided to parents or the community on various issues, use COMMUNICATIONS  &amp; COMMUNITY RELATIONS - COMMUNICATIONS.</t>
    </r>
  </si>
  <si>
    <r>
      <t xml:space="preserve">CHILD PROTECTION - Frameworks, programs, reviews relating to child protection.  </t>
    </r>
    <r>
      <rPr>
        <i/>
        <sz val="9"/>
        <rFont val="Arial"/>
      </rPr>
      <t>For individual cases, use STUDENT MANAGEMENT - CHILD PROTECTION.</t>
    </r>
  </si>
  <si>
    <t xml:space="preserve">Destroy 75 years after policy expires.   </t>
  </si>
  <si>
    <r>
      <t xml:space="preserve">AGREEMENTS - Establishment, maintenance, review and negotiation of workplace agreements that affect a majority staff.  </t>
    </r>
    <r>
      <rPr>
        <i/>
        <sz val="9"/>
        <rFont val="Arial"/>
      </rPr>
      <t>For individual agreements, use ADMINISTRATION - HUMAN RESOURCES - STAFF HISTORY .</t>
    </r>
  </si>
  <si>
    <r>
      <t xml:space="preserve">STAFF HISTORY - Employment details of all staff, contractors and volunteers. Includes volunteers undertaking work experience placements at the school.  </t>
    </r>
    <r>
      <rPr>
        <i/>
        <sz val="9"/>
        <rFont val="Arial"/>
      </rPr>
      <t>For payroll records, use ADMINISTRATION - FINANCE - ACCOUNTING</t>
    </r>
  </si>
  <si>
    <r>
      <t>SUMMARY - Summary data for individual staff members, contractors and volunteers.  Summary includes name of individual, date of birth, date of appointment, date of separation, rates of salary and allowances, individual employment agreement, position titles, dates positions were held,  teacher and non-practising teacher regis</t>
    </r>
    <r>
      <rPr>
        <sz val="9"/>
        <rFont val="Arial"/>
      </rPr>
      <t>tration, security check completion, evidence of professional learning, grievances relating to employment conditions, disciplinary matters.</t>
    </r>
  </si>
  <si>
    <r>
      <t xml:space="preserve">EXTERNAL SERVICES - Management and monitoring of external organisations providing of out of hours care  on behalf of the school. </t>
    </r>
    <r>
      <rPr>
        <i/>
        <sz val="9"/>
        <rFont val="Arial"/>
      </rPr>
      <t>For all matters (e.g. incidents, health, activities) relating to the student use the relevant topic.  For the commissioning of services and final agreements/ contracts, use GOVERNANCE- AGREEMENTS.</t>
    </r>
  </si>
  <si>
    <t>PROGRAM DEVELOPMENT AND MONITORING - Research, development and articulation of health and welfare programs for all students, or specific categories of student.</t>
  </si>
  <si>
    <r>
      <t xml:space="preserve">ACCOMMODATION - Management of arrangements for providing places of residents for students, including boarding and homestay. Includes applications, selection and administration of the services.   </t>
    </r>
    <r>
      <rPr>
        <i/>
        <sz val="9"/>
        <rFont val="Arial"/>
      </rPr>
      <t>For the commissioning and contracting-out of acccommodation services, use GOVERNANCE - AGREEMENTS.</t>
    </r>
    <r>
      <rPr>
        <sz val="9"/>
        <rFont val="Arial"/>
      </rPr>
      <t xml:space="preserve"> </t>
    </r>
    <r>
      <rPr>
        <i/>
        <sz val="9"/>
        <rFont val="Arial"/>
      </rPr>
      <t>For incidents affecting one or more students, use STUDENT MANAGEMENT - HEALTH AND WELFARE.  For the movement of students in and out of their accommodation, use STUDENT MANAGEMENT - ATTENDANCE.</t>
    </r>
  </si>
  <si>
    <t>SUCCESSFUL - Successful applications for accommodation services</t>
  </si>
  <si>
    <r>
      <t xml:space="preserve">STUDENT MASTER RECORD - Summary information for individual students covering a range of student management activities.  Includes: demographic details including relationships, past academic record, enrolment, attendance, awards and scholarships, international status, medical and welfare history, results, Year 12 School Reference, courses, house, suspensions, co-curricular activities, transfers, work experience/ placements, teacher observations. Includes students undertaking work experience placements at the school. </t>
    </r>
    <r>
      <rPr>
        <i/>
        <sz val="9"/>
        <rFont val="Arial"/>
      </rPr>
      <t xml:space="preserve"> If a consolidated student master record is not maintained then the records relating to various aspects of the student's time at school must be retained, as per the classes listed under STUDENT MANAGEMENT and TEACHING AND LEARNING.</t>
    </r>
  </si>
  <si>
    <t>Destroy 7years after student leaves the school, and if a summary record exists</t>
  </si>
  <si>
    <t>Destroy 25 years from date of birth, and if a summary record exists</t>
  </si>
  <si>
    <r>
      <t xml:space="preserve">ATTENDANCE - Management of student attendance and absences. Includes movement of students in and out of their accommodation. </t>
    </r>
    <r>
      <rPr>
        <i/>
        <sz val="9"/>
        <rFont val="Arial"/>
      </rPr>
      <t>For behavioural issues relating to attendance, use STUDENT MANAGEMENT - BEHAVIOUR.  If a summary record is maintained, use STUDENT MANAGEMENT - STUDENT MASTER RECORD.  If there is no summary record use this class.</t>
    </r>
  </si>
  <si>
    <t>SUMMARIES - of awards received by all students</t>
  </si>
  <si>
    <r>
      <t xml:space="preserve">INDIVIDUAL AWARDS - Individual student awards, posts etc.  </t>
    </r>
    <r>
      <rPr>
        <i/>
        <sz val="9"/>
        <rFont val="Arial"/>
      </rPr>
      <t>If a summary record is maintained, use STUDENT MANAGEMENT - STUDENT MASTER RECORD.  If there is no summary record use this class.</t>
    </r>
  </si>
  <si>
    <r>
      <t xml:space="preserve">ACCIDENTS AND INCIDENTS - Investigation, registration and reporting of accidents, incidents, injuries and illness. </t>
    </r>
    <r>
      <rPr>
        <i/>
        <sz val="9"/>
        <rFont val="Arial"/>
      </rPr>
      <t>If a summary record is maintained, use STUDENT MANAGEMENT - STUDENT MASTER RECORD.  If there is no summary record use this class.</t>
    </r>
  </si>
  <si>
    <r>
      <t xml:space="preserve">STUDENT MEDICAL AND WELFARE HISTORY - Records of all physical, psychological treatment, pastoral care and support given to a student.  Includes counselling, advice and therapy. </t>
    </r>
    <r>
      <rPr>
        <i/>
        <sz val="9"/>
        <rFont val="Arial"/>
      </rPr>
      <t xml:space="preserve"> If a summary record is maintained, use STUDENT MANAGEMENT - STUDENT MASTER RECORD.  If there is no summary record use this class.</t>
    </r>
  </si>
  <si>
    <r>
      <t xml:space="preserve">HOST FAMILIES - Selection and screening of host families for exchange students and international  students. </t>
    </r>
    <r>
      <rPr>
        <i/>
        <sz val="9"/>
        <rFont val="Arial"/>
      </rPr>
      <t>If a summary record is maintained, use STUDENT MANAGEMENT - STUDENT MASTER RECORD.  If there is no summary record use this class.</t>
    </r>
  </si>
  <si>
    <r>
      <t xml:space="preserve">SIGNIFICANT EVENTS - Significant events, cases or activities, which may result in student suspensions, expulsions or prosecutions through Court.  </t>
    </r>
    <r>
      <rPr>
        <i/>
        <sz val="9"/>
        <rFont val="Arial"/>
      </rPr>
      <t>If a summary record is maintained, use STUDENT MANAGEMENT - STUDENT MASTER RECORD.  If there is no summary record use this class.</t>
    </r>
  </si>
  <si>
    <r>
      <t xml:space="preserve">HOME SCHOOLING - Management of students seeking exemption to be schooled from home.  </t>
    </r>
    <r>
      <rPr>
        <i/>
        <sz val="9"/>
        <rFont val="Arial"/>
      </rPr>
      <t>For records relating to a student while they are at school, use other classes under STUDENT MANAGEMENT. If a summary record is maintained, use STUDENT MANAGEMENT - STUDENT MASTER RECORD.  If there is no summary record use this class.</t>
    </r>
  </si>
  <si>
    <r>
      <t xml:space="preserve">WORK EXPERIENCE - Arrangements for, and monitoring of individual student work experience or practical placements.  Includes screening of host employer and supervisors. </t>
    </r>
    <r>
      <rPr>
        <i/>
        <sz val="9"/>
        <rFont val="Arial"/>
      </rPr>
      <t>If a summary record is maintained, use STUDENT MANAGEMENT - STUDENT MASTER RECORD.  If there is no summary record use this class.</t>
    </r>
  </si>
  <si>
    <r>
      <t xml:space="preserve">STUDENT PARTICIPATION - Records of participation of students in camps, visits etc. </t>
    </r>
    <r>
      <rPr>
        <i/>
        <sz val="9"/>
        <rFont val="Arial"/>
      </rPr>
      <t xml:space="preserve"> If a summary record is maintained, use STUDENT MANAGEMENT - STUDENT MASTER RECORD.  If there is no summary record use this class.</t>
    </r>
  </si>
  <si>
    <r>
      <t>STUDENT PARTICIPATION - Records of participation of students in sports and sporting events.</t>
    </r>
    <r>
      <rPr>
        <i/>
        <sz val="9"/>
        <rFont val="Arial"/>
      </rPr>
      <t xml:space="preserve"> If a summary record is maintained, use STUDENT MANAGEMENT - STUDENT MASTER RECORD.  If there is no summary record use this class.</t>
    </r>
  </si>
  <si>
    <r>
      <t>STUDENT PARTICIPATION - Records of participation of students in artistic events.</t>
    </r>
    <r>
      <rPr>
        <i/>
        <sz val="9"/>
        <rFont val="Arial"/>
      </rPr>
      <t xml:space="preserve"> If a summary record is maintained, use STUDENT MANAGEMENT - STUDENT MASTER RECORD.  If there is no summary record use this class.</t>
    </r>
  </si>
  <si>
    <t>SERVICE LEARNING - Activities that contribute to the wider community such as fundraising, volunteering.</t>
  </si>
  <si>
    <r>
      <t>STUDENT PARTICIPATION - Records of participation of students in community events.</t>
    </r>
    <r>
      <rPr>
        <i/>
        <sz val="9"/>
        <rFont val="Arial"/>
      </rPr>
      <t xml:space="preserve"> If a summary record is maintained, use STUDENT MANAGEMENT - STUDENT MASTER RECORD.  If there is no summary record use this class.</t>
    </r>
  </si>
  <si>
    <r>
      <t xml:space="preserve">DEVELOPMENT AND DELIVERY - Routine development and delivery of curriculum and teaching materials. </t>
    </r>
    <r>
      <rPr>
        <i/>
        <sz val="9"/>
        <rFont val="Arial"/>
      </rPr>
      <t xml:space="preserve"> For trainees or apprentices that undertake a qualification with an external supervisor, use STUDENT MANAGEMENT - MASTER STUDENT RECORD.</t>
    </r>
  </si>
  <si>
    <r>
      <t xml:space="preserve">INDIVIDUAL STUDENTS - Management of individual students.  </t>
    </r>
    <r>
      <rPr>
        <i/>
        <sz val="9"/>
        <rFont val="Arial"/>
      </rPr>
      <t>If a summary record is maintained, use STUDENT MANAGEMENT - STUDENT MASTER RECORD.  If there is no summary record use this class.</t>
    </r>
  </si>
  <si>
    <r>
      <t xml:space="preserve">INDIVIDUAL STUDENT - Data and analysis for individual students. </t>
    </r>
    <r>
      <rPr>
        <i/>
        <sz val="9"/>
        <rFont val="Arial"/>
      </rPr>
      <t>If a summary record is maintained, use STUDENT MANAGEMENT - STUDENT MASTER RECORD.  If there is no summary record use this class.</t>
    </r>
  </si>
  <si>
    <r>
      <t xml:space="preserve">INDIVIDUAL STUDENTS - RESULTS - Record of individual student assessment and achievement, including student reports. Includes completion or partial completion of traineeships and apprenticeships. </t>
    </r>
    <r>
      <rPr>
        <i/>
        <sz val="9"/>
        <rFont val="Arial"/>
      </rPr>
      <t>If a summary record is maintained, use STUDENT MANAGEMENT - STUDENT MASTER RECORD.  If there is no summary record use this class.</t>
    </r>
  </si>
  <si>
    <t>ARRANGEMENTS - Planning, arranging and facilitating events.</t>
  </si>
  <si>
    <r>
      <t xml:space="preserve">ACTIVITIES - Management of the Group's activities, e.g. planning and organising fund raising, reunions, commemorations. </t>
    </r>
    <r>
      <rPr>
        <i/>
        <sz val="9"/>
        <rFont val="Arial"/>
      </rPr>
      <t>For financial records of funds received from external sources, use ADMINISTRATION - FINANCE - ACCOUNTING.</t>
    </r>
  </si>
  <si>
    <r>
      <t xml:space="preserve">OBJECTS - Material of high significance to the history of the school, e.g. formal group photographs, plaques, flags, trophies and newspaper cuttings, etc.  </t>
    </r>
    <r>
      <rPr>
        <i/>
        <sz val="9"/>
        <rFont val="Arial"/>
      </rPr>
      <t>Use the relevant topic to sentence photographs and newspaper cuttings.  For other memorabilia (e.g. plaques, flags, trophies, etc) use Significance 2.0: https://www.arts.gov.au/what-we-do/museums-libraries-and-galleries/significance-20</t>
    </r>
  </si>
  <si>
    <r>
      <t xml:space="preserve">EPHEMERA - Information that is of ephemeral or short-term use, e.g. duplicate copies of material held for reference; information of short term facilitative value; working papers and drafts that will not be reused. </t>
    </r>
    <r>
      <rPr>
        <i/>
        <sz val="9"/>
        <rFont val="Arial"/>
      </rPr>
      <t>For objects/ physical artefacts, use OBJECTS.</t>
    </r>
  </si>
  <si>
    <t xml:space="preserve">Destroy 7 years after the person has left the school, providing the identifying number of the check, expiry date and date sighted by the school are retained in accordance with  ADMINISTRATION – HUMAN RESOURCES - STAFF HISTORY - SUMMARY </t>
  </si>
  <si>
    <t>SPIRITUAL PROGRAMS</t>
  </si>
  <si>
    <t>Registers, indexes, lists of participants</t>
  </si>
  <si>
    <r>
      <t xml:space="preserve">SPIRITUAL PROGRAMS - Spiritual/religious services provided to students and the wider school community, e.g. through a school chapel.  </t>
    </r>
    <r>
      <rPr>
        <i/>
        <sz val="9"/>
        <color theme="1"/>
        <rFont val="Arial"/>
      </rPr>
      <t xml:space="preserve">For photographs and artefacts, use OBJECTS. </t>
    </r>
  </si>
  <si>
    <t xml:space="preserve">ESTABLISHMENT - Formal arrangements for the establishment of a chaplaincy program and reporting, use GOVERNANCE - AGREEMENTS/ CONTRACTS </t>
  </si>
  <si>
    <t>FUNDING - For funding applications, use ADMINISTRATION - FINANCE - FUNDING.</t>
  </si>
  <si>
    <t>For the engagement of chaplains, treat as for ADMINISTRATION - HUMAN RESOURCES.</t>
  </si>
  <si>
    <t>PASTORAL CARE - For pastoral care programs, use STUDENT SERVICES - HEALTH AND WELFARE. For the provision of pastoral care to specific students, use STUDENT MANAGEMENT - HEALTH AND WELFARE.</t>
  </si>
  <si>
    <t xml:space="preserve">CHAPLAINCY PROGRAMS - Establishment and conduct of chaplaincy programs, government funded or otherwise.      </t>
  </si>
  <si>
    <t>ARRANGEMENTS  - Administrative arrangements for ceremonies and services.</t>
  </si>
  <si>
    <t>PUBLICATIONS - For formal communications within the school or between the chaplain and the community, treat as for COMMUNICATIONS  &amp; COMMUNITY RELATIONS - CIRCULARS AND INSTRUCTIONS, or PUBLICATIONS.</t>
  </si>
  <si>
    <r>
      <t>Destroy</t>
    </r>
    <r>
      <rPr>
        <sz val="9"/>
        <rFont val="Arial"/>
      </rPr>
      <t xml:space="preserve"> 7 years aft</t>
    </r>
    <r>
      <rPr>
        <sz val="9"/>
        <color rgb="FF000000"/>
        <rFont val="Arial"/>
      </rPr>
      <t xml:space="preserve">er action completed </t>
    </r>
  </si>
  <si>
    <t>CASES - Notifications, allegations, investigations and reports, and any related records where a person reasonably suspects harm or a risk of harm to a student, including action taken.  Includes management of students subject to a relevant court order (e.g. child protection order)</t>
  </si>
  <si>
    <t>Reports - formal and informal, records of investigations, recommendations, documentation of action taken.  Supporting records, e.g. attendance, leave and travel records; personnel files; counselling or discipline records; referrals to and eviews of actions, cases or decisions by external authorities; records of claims, assessments, reviews and appeals for individuals; interventions, support or compensation and attempted or successful redress; and counselling, mediation and medical records</t>
  </si>
  <si>
    <t>Custody</t>
  </si>
  <si>
    <r>
      <t xml:space="preserve">HEALTH AND WELFARE - Programs, plans, support services and activities provided by schools affecting the safety, health and general welfare of students. For example:  immunisation, counselling, pastoral care, promotion, prevention. Includes non-educational issues which may relate to school activities e.g. domestic violence, any form of child abuse, drug abuse, the use of prescribed medication by students etc.  </t>
    </r>
    <r>
      <rPr>
        <i/>
        <sz val="9"/>
        <rFont val="Arial"/>
      </rPr>
      <t xml:space="preserve">For individual student health and welfare records, incident and accident management use STUDENT MANAGEMENT- HEALTH AND WELFARE. </t>
    </r>
  </si>
  <si>
    <r>
      <t>STUDENT MANAGEMENT - Management of students by supporting them throughout their attendance at school, assisting them to undertake and successfully
complete their studies.   Includes child protection, admissions, enrolment, behaviour/discipline, awards, attendance, activities, financial assistance, boarding, home schooling, student identity &amp; status (e.g. home &amp; relationship information, student details (inc medical), change of status, transfer information, court orders, matters affecting the safety, health and general welfare of students such as domestic viole</t>
    </r>
    <r>
      <rPr>
        <sz val="9"/>
        <rFont val="Arial"/>
      </rPr>
      <t>nce, any form of child abuse, dr</t>
    </r>
    <r>
      <rPr>
        <sz val="9"/>
        <color theme="1"/>
        <rFont val="Arial"/>
      </rPr>
      <t>ug abuse, and support services and programs such as immunisations, counselling, medical assessment.</t>
    </r>
  </si>
  <si>
    <t>RELIGIOUS CEREMONIES AND SERVICES - Conduct of baptism, confirmation, marriage, funeral and memorial ceremonies, and religious services for the school and/or the wider community.</t>
  </si>
  <si>
    <t>FINANCIAL RECORDS - ANNUAL - Annual summaries of the school's financial position that are audited or used for other reporting</t>
  </si>
  <si>
    <t>AGREEMENTS/ CONTRACTS</t>
  </si>
  <si>
    <t>FINANCE</t>
  </si>
  <si>
    <t>PROPERTY</t>
  </si>
  <si>
    <t>INFORMATION MANAGEMENT</t>
  </si>
  <si>
    <t>HUMAN RESOURCES</t>
  </si>
  <si>
    <t>OCCUPATIONAL HEALTH AND SAFETY (OH&amp;S)</t>
  </si>
  <si>
    <t>ADVICE</t>
  </si>
  <si>
    <t>LITIGATION</t>
  </si>
  <si>
    <t>ASSETS</t>
  </si>
  <si>
    <t>INSURANCE</t>
  </si>
  <si>
    <t>HAZARDOUS MATERIALS</t>
  </si>
  <si>
    <t>EQUIPMENT AND STORES</t>
  </si>
  <si>
    <t>INFORMATION TECHNOLOGY AND SYSTEMS</t>
  </si>
  <si>
    <t>PRIVACY</t>
  </si>
  <si>
    <t>RECORDKEEPING AND ARCHIVES</t>
  </si>
  <si>
    <t>AGREEMENTS</t>
  </si>
  <si>
    <t>RECRUITMENT</t>
  </si>
  <si>
    <t>STAFF HISTORY</t>
  </si>
  <si>
    <t xml:space="preserve">STAFF DEVELOPMENT </t>
  </si>
  <si>
    <t>FOOD SERVICES</t>
  </si>
  <si>
    <t>OUT OF HOURS CARE</t>
  </si>
  <si>
    <t>HEALTH AND WELFARE</t>
  </si>
  <si>
    <t>ACCOMMODATION</t>
  </si>
  <si>
    <t>STUDENT MASTER RECORD</t>
  </si>
  <si>
    <t>ADMISSIONS</t>
  </si>
  <si>
    <t>FINANCIAL ASSISTANCE</t>
  </si>
  <si>
    <t>AWARDS</t>
  </si>
  <si>
    <t>CHILD PROTECTION</t>
  </si>
  <si>
    <t xml:space="preserve">BEHAVIOUR </t>
  </si>
  <si>
    <t>CO-CURRICULAR ACTIVITIES</t>
  </si>
  <si>
    <t>EXCURSIONS</t>
  </si>
  <si>
    <t>SPORTS</t>
  </si>
  <si>
    <t>ARTS</t>
  </si>
  <si>
    <t>SERVICE LEARNING</t>
  </si>
  <si>
    <t>CURRICULUM</t>
  </si>
  <si>
    <t xml:space="preserve">SPECIAL EDUCATION </t>
  </si>
  <si>
    <t>HIGH POTENTIAL PROGRAMS</t>
  </si>
  <si>
    <t>LEARNING ANALYTICS</t>
  </si>
  <si>
    <t>EXAMINATIONS &amp; ASSESSMENTS</t>
  </si>
  <si>
    <t>CIRCULARS AND INSTRUCTIONS</t>
  </si>
  <si>
    <t>PUBLICATIONS</t>
  </si>
  <si>
    <t>CELEBRATIONS</t>
  </si>
  <si>
    <t>VISITS TO THE SCHOOL</t>
  </si>
  <si>
    <t>RELIGIOUS CEREMONIES AND SERVICES</t>
  </si>
  <si>
    <t>CHAPLAINCY PROGRAMS</t>
  </si>
  <si>
    <t>Record Owner</t>
  </si>
  <si>
    <t xml:space="preserve">OBJECTS </t>
  </si>
  <si>
    <t>EPHEMERA</t>
  </si>
  <si>
    <t>ESTABLISHMENT</t>
  </si>
  <si>
    <t>CLOSURE</t>
  </si>
  <si>
    <t>COUNCIL and COMMITTEES</t>
  </si>
  <si>
    <t>REGULATION</t>
  </si>
  <si>
    <t>COMPLIANCE MONITORING</t>
  </si>
  <si>
    <t>PLANNING</t>
  </si>
  <si>
    <t>DELEGATIONS &amp; AUTHORISATIONS</t>
  </si>
  <si>
    <t>SUBMISSIONS</t>
  </si>
  <si>
    <t>POLICIES AND PROCEDURES</t>
  </si>
  <si>
    <t>REPORTING</t>
  </si>
  <si>
    <t>CORPORATE IDENTITY</t>
  </si>
  <si>
    <t>ROSTERING</t>
  </si>
  <si>
    <t>ENQUIRIES</t>
  </si>
  <si>
    <t xml:space="preserve">CAREERS </t>
  </si>
  <si>
    <t>LIBRARY</t>
  </si>
  <si>
    <t>SCHOOL ANIMAL &amp; CROP MANAGEMENT</t>
  </si>
  <si>
    <t>ATTENDANCE</t>
  </si>
  <si>
    <t>HOME SCHOOLING</t>
  </si>
  <si>
    <t xml:space="preserve">WORK EXPERIENCE </t>
  </si>
  <si>
    <t>DISTANCE EDUCATION</t>
  </si>
  <si>
    <t>SPECIAL EDUCATION</t>
  </si>
  <si>
    <t xml:space="preserve">TIMETABLES </t>
  </si>
  <si>
    <t xml:space="preserve">COMMUNITY RELATIONS </t>
  </si>
  <si>
    <t xml:space="preserve">MEMBERSHIP </t>
  </si>
  <si>
    <t>ACTIVITIES</t>
  </si>
  <si>
    <t>REGISTER</t>
  </si>
  <si>
    <t xml:space="preserve">SUCCESSFUL - MAJOR </t>
  </si>
  <si>
    <t xml:space="preserve">SUCCESSFUL MINOR </t>
  </si>
  <si>
    <t>UNSUCCESSFUL</t>
  </si>
  <si>
    <t xml:space="preserve">LITIGATION </t>
  </si>
  <si>
    <t xml:space="preserve">FINANCIAL RECORDS - ANNUAL </t>
  </si>
  <si>
    <t xml:space="preserve">ACCOUNTING </t>
  </si>
  <si>
    <t xml:space="preserve">BANKING </t>
  </si>
  <si>
    <t>AUDIT</t>
  </si>
  <si>
    <t>BUDGETING</t>
  </si>
  <si>
    <t>FUNDING</t>
  </si>
  <si>
    <t xml:space="preserve">FEES </t>
  </si>
  <si>
    <t>TAXATION</t>
  </si>
  <si>
    <t xml:space="preserve">ACQUISITION AND DISPOSAL </t>
  </si>
  <si>
    <t xml:space="preserve">CONSTRUCTION AND RENOVATION </t>
  </si>
  <si>
    <t xml:space="preserve">REFURBISHMENT </t>
  </si>
  <si>
    <t xml:space="preserve">MAINTENANCE </t>
  </si>
  <si>
    <t xml:space="preserve">SECURITY </t>
  </si>
  <si>
    <t xml:space="preserve">FACILITY HIRE </t>
  </si>
  <si>
    <t>INTELLECTUAL PROPERTY</t>
  </si>
  <si>
    <t>STORAGE</t>
  </si>
  <si>
    <t>POSITIONS</t>
  </si>
  <si>
    <t>SECURITY CHECKS</t>
  </si>
  <si>
    <t xml:space="preserve">COUNSELLING </t>
  </si>
  <si>
    <t>SALARIES</t>
  </si>
  <si>
    <t>ALLOWANCES</t>
  </si>
  <si>
    <t>STAFF DEVELOPMENT</t>
  </si>
  <si>
    <t xml:space="preserve">INCIDENTS </t>
  </si>
  <si>
    <t>COMPENSATION</t>
  </si>
  <si>
    <t xml:space="preserve">COMPLIANCE </t>
  </si>
  <si>
    <t>OPERATIONS</t>
  </si>
  <si>
    <t xml:space="preserve">ATTENDANCE </t>
  </si>
  <si>
    <t xml:space="preserve">ACTIVITIES </t>
  </si>
  <si>
    <t xml:space="preserve">EXTERNAL SERVICES </t>
  </si>
  <si>
    <t>PROGRAM DEVELOPMENT AND MONITORING</t>
  </si>
  <si>
    <t xml:space="preserve">PROGRAM OPERATION </t>
  </si>
  <si>
    <t>SUCCESSFUL APPLICATIONS</t>
  </si>
  <si>
    <t>UNSUCCESSFUL APPLICATIONS</t>
  </si>
  <si>
    <t>INDIGENOUS STUDENTS</t>
  </si>
  <si>
    <t xml:space="preserve">STUDENTS IN OUT-OF-HOME-CARE </t>
  </si>
  <si>
    <t>OTHER STUDENTS</t>
  </si>
  <si>
    <t>SUPPORTING RECORDS</t>
  </si>
  <si>
    <t xml:space="preserve">SUMMARY </t>
  </si>
  <si>
    <t>INDIVIDUAL - SUCCESSFUL</t>
  </si>
  <si>
    <t xml:space="preserve">INDIVIDUAL - DEPARTURES  </t>
  </si>
  <si>
    <t xml:space="preserve">INDIVIDUAL - UNSUCCESSFUL </t>
  </si>
  <si>
    <t xml:space="preserve">PROGRAM MANAGEMENT </t>
  </si>
  <si>
    <t xml:space="preserve">INDIVIDUAL AWARDS </t>
  </si>
  <si>
    <t xml:space="preserve">ESTABLISHMENT </t>
  </si>
  <si>
    <t>SUMMARIES</t>
  </si>
  <si>
    <t>INDIVIDUAL AWARDS</t>
  </si>
  <si>
    <t>ACCIDENTS AND INCIDENTS</t>
  </si>
  <si>
    <t xml:space="preserve">STUDENT MEDICAL AND WELFARE HISTORY </t>
  </si>
  <si>
    <t xml:space="preserve">CASES </t>
  </si>
  <si>
    <t>HOST FAMILIES</t>
  </si>
  <si>
    <t>SIGNIFICANT EVENTS</t>
  </si>
  <si>
    <t xml:space="preserve">ROUTINE EVENTS </t>
  </si>
  <si>
    <t>PROGRAM ESTABLISHMENT</t>
  </si>
  <si>
    <t xml:space="preserve">HOUSE </t>
  </si>
  <si>
    <t xml:space="preserve">EXCURSIONS </t>
  </si>
  <si>
    <t xml:space="preserve">ARTS </t>
  </si>
  <si>
    <t>MAJOR PROGRAMS</t>
  </si>
  <si>
    <t xml:space="preserve">DEVELOPMENT AND DELIVERY </t>
  </si>
  <si>
    <t xml:space="preserve">REVIEW </t>
  </si>
  <si>
    <t xml:space="preserve">INTERNATIONAL BACCALAUREATE (IB) </t>
  </si>
  <si>
    <t>PROGRAMS</t>
  </si>
  <si>
    <t>INDIVIDUAL STUDENTS</t>
  </si>
  <si>
    <t>PROGRAMS DESIGN &amp; MANAGEMENT</t>
  </si>
  <si>
    <t>AGGREGATED DATA AND ANALYSIS</t>
  </si>
  <si>
    <t>INDIVIDUAL STUDENT</t>
  </si>
  <si>
    <t xml:space="preserve">SUMMARY RESULTS - QUALIFICATIONS </t>
  </si>
  <si>
    <t xml:space="preserve">SUMMARY RESULTS - OTHER YEARS </t>
  </si>
  <si>
    <t>INDIVIDUAL STUDENTS - RESULTS</t>
  </si>
  <si>
    <t xml:space="preserve">CERTIFICATES </t>
  </si>
  <si>
    <t>ARRANGEMENTS</t>
  </si>
  <si>
    <t>PRODUCTION</t>
  </si>
  <si>
    <t>VIPs</t>
  </si>
  <si>
    <t>PASTORAL CARE</t>
  </si>
  <si>
    <t xml:space="preserve">MAJOR ISSUES </t>
  </si>
  <si>
    <t>OTHER ISSUES</t>
  </si>
  <si>
    <t>MAJOR MATTERS</t>
  </si>
  <si>
    <t>OTHER MATTERS</t>
  </si>
  <si>
    <t xml:space="preserve">REGISTER </t>
  </si>
  <si>
    <t xml:space="preserve">VALUATIONS </t>
  </si>
  <si>
    <t>POLICIES</t>
  </si>
  <si>
    <t>CLAIMS</t>
  </si>
  <si>
    <t>BUILDING MATERIALS</t>
  </si>
  <si>
    <t>NON-BUILDING MATERIALS</t>
  </si>
  <si>
    <t xml:space="preserve">NON-TOXIC WASTE </t>
  </si>
  <si>
    <t>ACQUISITION</t>
  </si>
  <si>
    <t>DISPOSAL</t>
  </si>
  <si>
    <t xml:space="preserve">IMPLEMENTATION </t>
  </si>
  <si>
    <t xml:space="preserve">MANAGEMENT </t>
  </si>
  <si>
    <t xml:space="preserve">BREACHES </t>
  </si>
  <si>
    <t xml:space="preserve">UNFOUNDED COMPLAINTS </t>
  </si>
  <si>
    <t xml:space="preserve">CONTROLS </t>
  </si>
  <si>
    <t xml:space="preserve">REFERENCE SERVICES </t>
  </si>
  <si>
    <t xml:space="preserve">DONATIONS AND LOANS </t>
  </si>
  <si>
    <t>CONSERVATION</t>
  </si>
  <si>
    <t xml:space="preserve">RECRUITMENT PROCESS </t>
  </si>
  <si>
    <t xml:space="preserve">SUMMARY DATA </t>
  </si>
  <si>
    <t>CONFERENCES AND SEMINARS</t>
  </si>
  <si>
    <t xml:space="preserve">EVALUATION and PLANNING </t>
  </si>
  <si>
    <t>MASTER RECORD</t>
  </si>
  <si>
    <t>INVESTIGATION</t>
  </si>
  <si>
    <t xml:space="preserve">STUDENT PARTICIPATION </t>
  </si>
  <si>
    <t>STUDENT PARTICIPATION</t>
  </si>
  <si>
    <t>ENTERPRISE AGREEMENTS</t>
  </si>
  <si>
    <t>EMPLOYMENT HISTORY - SUMMARY MAINTAINED</t>
  </si>
  <si>
    <t xml:space="preserve">EMPLOYMENT HISTORY - SUMMARY NOT MAINTAINED </t>
  </si>
  <si>
    <t>EVENT RECORDS</t>
  </si>
  <si>
    <t>EXTERNAL</t>
  </si>
  <si>
    <t>INTERNAL</t>
  </si>
  <si>
    <t>PUBLICATION</t>
  </si>
  <si>
    <t>Owner:</t>
  </si>
  <si>
    <t>Overview:</t>
  </si>
  <si>
    <t>Change log</t>
  </si>
  <si>
    <t>Date</t>
  </si>
  <si>
    <t>By</t>
  </si>
  <si>
    <t>Name</t>
  </si>
  <si>
    <t>Explanation</t>
  </si>
  <si>
    <t>Acknoweldgements</t>
  </si>
  <si>
    <t>Instructions for use</t>
  </si>
  <si>
    <t>Development:</t>
  </si>
  <si>
    <t>Australian Society of Archivists (ASA) Inc.</t>
  </si>
  <si>
    <t xml:space="preserve"> J.Ellis, Enterprise Knowledge Pty Ltd</t>
  </si>
  <si>
    <t>Project Management:</t>
  </si>
  <si>
    <t>Build:</t>
  </si>
  <si>
    <t>R.Lehane, M.Brogan</t>
  </si>
  <si>
    <t>ASA Reference Group</t>
  </si>
  <si>
    <t>S. Stefanopoulos, Loreto Mandeville Hall (Vic) - Co-facilitator</t>
  </si>
  <si>
    <t>J. Pearce, The King's School (NSW) – Project Co-facilitator</t>
  </si>
  <si>
    <t>D.Roberts, Newington College (NSW)</t>
  </si>
  <si>
    <t>M. Miller, Moriah College (NSW)</t>
  </si>
  <si>
    <t>S.Cooper, Pulteney Grammar School (SA)</t>
  </si>
  <si>
    <t>L.Moscato, Melbourne Grammar School (Vic)</t>
  </si>
  <si>
    <t>J. Gibson, Caulfield Grammar School (Vic)</t>
  </si>
  <si>
    <t>M. Paterson, Bunbury Cathedral Grammar School (WA)</t>
  </si>
  <si>
    <t xml:space="preserve">P. Madalena, Aquinas College (WA) </t>
  </si>
  <si>
    <t>Copyright</t>
  </si>
  <si>
    <t>BAPTISMS</t>
  </si>
  <si>
    <t>CONFIRMATIONS</t>
  </si>
  <si>
    <t>FUNERALS</t>
  </si>
  <si>
    <t>MARRIAGES</t>
  </si>
  <si>
    <t>MEMORIALS</t>
  </si>
  <si>
    <t>PO Box A623</t>
  </si>
  <si>
    <t>Sydney South, NSW 1235</t>
  </si>
  <si>
    <t>www.archivists.org.au</t>
  </si>
  <si>
    <t>ABN: 36 102 573 974</t>
  </si>
  <si>
    <t>ARBN: 159 638 696</t>
  </si>
  <si>
    <t>Origin: Australian Capital Territory</t>
  </si>
  <si>
    <t>Liability of members is limited</t>
  </si>
  <si>
    <t>Owner and Overview</t>
  </si>
  <si>
    <t>Summary records of baptisms, confirmations, marriages,  funerals and memorials.</t>
  </si>
  <si>
    <t>Sub class, Description Or Keyword</t>
  </si>
  <si>
    <t>Disclaimer</t>
  </si>
  <si>
    <t xml:space="preserve">This Retention and Disposal Schedule is intended to guide licensed users in decision making about retention and disposal of commonly occurring records in non-government schools.  Its content is not intended to constitute legal or other professional advice or to be a substitute for such advice. </t>
  </si>
  <si>
    <t>Email:</t>
  </si>
  <si>
    <t>office@archivists.org.au</t>
  </si>
  <si>
    <t>3. To navigate the schedule, click the Table of Contents (ToC) worksheet tab or do a Search via the search tab</t>
  </si>
  <si>
    <t>M.Brogan</t>
  </si>
  <si>
    <t>Release</t>
  </si>
  <si>
    <t>Using Search</t>
  </si>
  <si>
    <t>Use this button to do a word search in the RRDS-NGS Worksheet- ---&gt;</t>
  </si>
  <si>
    <t>Excel version of Australian Society of Archivists Records Retention and Disposal Schedule for Non-Government Schools (RRDS-NGS).</t>
  </si>
  <si>
    <t>4. Only columns F-H of the Schedule are editable.  You can use these columns to add examples or to record notes about custody or ownership.  See section 5 of the Guidelines for further information</t>
  </si>
  <si>
    <t>2. Record and retain the license number sent to you in email at the time of purchase. Use this number when contacting ASA Inc on any matter relating to your license.</t>
  </si>
  <si>
    <t>M. Brogan, S. Stefanopoulos, A. McKinnon Matthews</t>
  </si>
  <si>
    <t>v2.03</t>
  </si>
  <si>
    <t>SUMMARY HEALTH DATA</t>
  </si>
  <si>
    <r>
      <t xml:space="preserve">MASTER RECORD of accredited or approved courses, programs, training packages, modules and units provided for staff of the school, or of other schools.  </t>
    </r>
    <r>
      <rPr>
        <i/>
        <sz val="9"/>
        <rFont val="Arial"/>
      </rPr>
      <t>For the approval of courses, use GOVERNANCE - REGULATION.</t>
    </r>
  </si>
  <si>
    <t>Mac</t>
  </si>
  <si>
    <t>Windows PC</t>
  </si>
  <si>
    <t xml:space="preserve">1. Click the RRDS-NGS worksheet </t>
  </si>
  <si>
    <t>2. Use the Search dialog or [CMD][F] to word search in the RRDS-NGS worksheet</t>
  </si>
  <si>
    <t>Hints for searching</t>
  </si>
  <si>
    <t>1. You must enable macros for the Search button to work.  Grid view should also be used.</t>
  </si>
  <si>
    <r>
      <t xml:space="preserve">2. Excel Find settings may need to be changed.  Search within </t>
    </r>
    <r>
      <rPr>
        <b/>
        <sz val="9"/>
        <color theme="1"/>
        <rFont val="Arial"/>
        <family val="2"/>
      </rPr>
      <t>Workbook</t>
    </r>
    <r>
      <rPr>
        <sz val="9"/>
        <color theme="1"/>
        <rFont val="Arial"/>
        <family val="2"/>
      </rPr>
      <t xml:space="preserve"> and Lookin </t>
    </r>
    <r>
      <rPr>
        <b/>
        <sz val="9"/>
        <color theme="1"/>
        <rFont val="Arial"/>
        <family val="2"/>
      </rPr>
      <t>Values.</t>
    </r>
  </si>
  <si>
    <t>3. By default Search will report matches in the Schedule (RRDS-NGS) worksheet first.</t>
  </si>
  <si>
    <t>Windows PC (Macro Shortcut)</t>
  </si>
  <si>
    <t>2. Use the Find &amp; Select button in the menu bar or or [CTRL][F] to bring up the search dialog</t>
  </si>
  <si>
    <t>1. Click the Search button below as a shortcut for searching the Schedule worksheet and workbook for words or strings</t>
  </si>
  <si>
    <t>Students of Indigenous origin or in out-of-home care - Retain permanently.  Other students - Destroy 75 years from date of birth</t>
  </si>
  <si>
    <t>Indigenous STUDENTS - Summary record for students of Aboriginal or Torres Strait Islander origin</t>
  </si>
  <si>
    <t>OTHER STUDENTS - Summary for students who are not Indigenous, or are living or have lived in out-of-home-care.</t>
  </si>
  <si>
    <t>Australian Society of Archivists Inc. and Enterprise Knowledge Pty Ltd shall not be liable or held responsible and disclaim responsibility for any omissions, acts done by others as a consequence of reliance upon this schedule.</t>
  </si>
  <si>
    <t>R.Lehane</t>
  </si>
  <si>
    <t>v2.04</t>
  </si>
  <si>
    <t>Allow sorting/filtering locked cells</t>
  </si>
</sst>
</file>

<file path=xl/styles.xml><?xml version="1.0" encoding="utf-8"?>
<styleSheet xmlns="http://schemas.openxmlformats.org/spreadsheetml/2006/main" xmlns:mc="http://schemas.openxmlformats.org/markup-compatibility/2006" xmlns:x14ac="http://schemas.microsoft.com/office/spreadsheetml/2009/9/ac" mc:Ignorable="x14ac">
  <fonts count="36" x14ac:knownFonts="1">
    <font>
      <sz val="12"/>
      <color theme="1"/>
      <name val="Calibri"/>
      <family val="2"/>
      <scheme val="minor"/>
    </font>
    <font>
      <b/>
      <sz val="12"/>
      <color rgb="FF0000FF"/>
      <name val="Calibri"/>
      <scheme val="minor"/>
    </font>
    <font>
      <sz val="12"/>
      <name val="Calibri"/>
      <scheme val="minor"/>
    </font>
    <font>
      <sz val="11"/>
      <color theme="1"/>
      <name val="Arial"/>
    </font>
    <font>
      <u/>
      <sz val="12"/>
      <color theme="10"/>
      <name val="Calibri"/>
      <family val="2"/>
      <scheme val="minor"/>
    </font>
    <font>
      <u/>
      <sz val="12"/>
      <color theme="11"/>
      <name val="Calibri"/>
      <family val="2"/>
      <scheme val="minor"/>
    </font>
    <font>
      <sz val="8"/>
      <name val="Calibri"/>
      <family val="2"/>
      <scheme val="minor"/>
    </font>
    <font>
      <sz val="9"/>
      <color theme="1"/>
      <name val="Arial"/>
    </font>
    <font>
      <i/>
      <sz val="9"/>
      <color theme="1"/>
      <name val="Arial"/>
    </font>
    <font>
      <b/>
      <sz val="9"/>
      <color rgb="FF0000FF"/>
      <name val="Arial"/>
    </font>
    <font>
      <sz val="9"/>
      <name val="Arial"/>
    </font>
    <font>
      <sz val="9"/>
      <color rgb="FF000000"/>
      <name val="Arial"/>
    </font>
    <font>
      <b/>
      <sz val="9"/>
      <color theme="9" tint="-0.249977111117893"/>
      <name val="Arial"/>
    </font>
    <font>
      <sz val="9"/>
      <color rgb="FFFF0000"/>
      <name val="Arial"/>
    </font>
    <font>
      <i/>
      <sz val="9"/>
      <name val="Arial"/>
    </font>
    <font>
      <i/>
      <sz val="9"/>
      <color rgb="FF000000"/>
      <name val="Arial"/>
    </font>
    <font>
      <sz val="12"/>
      <color rgb="FFFF0000"/>
      <name val="Arial"/>
    </font>
    <font>
      <sz val="9"/>
      <color theme="1"/>
      <name val="Arial"/>
      <family val="2"/>
    </font>
    <font>
      <sz val="9"/>
      <name val="Arial"/>
      <family val="2"/>
    </font>
    <font>
      <sz val="9"/>
      <color rgb="FF000000"/>
      <name val="Arial"/>
      <family val="2"/>
    </font>
    <font>
      <u/>
      <sz val="9"/>
      <color theme="10"/>
      <name val="Arial"/>
      <family val="2"/>
    </font>
    <font>
      <b/>
      <sz val="12"/>
      <color theme="0"/>
      <name val="Calibri"/>
      <family val="2"/>
      <scheme val="minor"/>
    </font>
    <font>
      <b/>
      <sz val="10"/>
      <color rgb="FF000000"/>
      <name val="Calibri"/>
      <family val="2"/>
    </font>
    <font>
      <sz val="10"/>
      <color rgb="FF808080"/>
      <name val="Calibri"/>
      <family val="2"/>
    </font>
    <font>
      <b/>
      <sz val="10"/>
      <color theme="0"/>
      <name val="Calibri"/>
      <family val="2"/>
    </font>
    <font>
      <b/>
      <sz val="11"/>
      <color theme="0"/>
      <name val="Arial"/>
      <family val="2"/>
    </font>
    <font>
      <sz val="10"/>
      <color theme="1" tint="0.499984740745262"/>
      <name val="Calibri"/>
      <family val="2"/>
    </font>
    <font>
      <b/>
      <sz val="10"/>
      <color theme="1"/>
      <name val="Calibri"/>
      <family val="2"/>
    </font>
    <font>
      <sz val="10"/>
      <color theme="1" tint="0.249977111117893"/>
      <name val="Calibri"/>
      <family val="2"/>
    </font>
    <font>
      <i/>
      <sz val="10"/>
      <color theme="1" tint="0.249977111117893"/>
      <name val="Calibri"/>
      <family val="2"/>
    </font>
    <font>
      <sz val="12"/>
      <color rgb="FF000000"/>
      <name val="Calibri"/>
      <family val="2"/>
    </font>
    <font>
      <sz val="9"/>
      <color theme="0"/>
      <name val="Calibri"/>
      <family val="2"/>
      <scheme val="minor"/>
    </font>
    <font>
      <b/>
      <sz val="9"/>
      <color rgb="FF0000FF"/>
      <name val="Arial"/>
      <family val="2"/>
    </font>
    <font>
      <b/>
      <sz val="9"/>
      <color theme="1"/>
      <name val="Arial"/>
      <family val="2"/>
    </font>
    <font>
      <b/>
      <sz val="9"/>
      <name val="Calibri"/>
      <family val="2"/>
      <scheme val="minor"/>
    </font>
    <font>
      <b/>
      <sz val="12"/>
      <color theme="1"/>
      <name val="Calibri"/>
      <family val="2"/>
      <scheme val="minor"/>
    </font>
  </fonts>
  <fills count="16">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E4DFEC"/>
        <bgColor rgb="FF000000"/>
      </patternFill>
    </fill>
    <fill>
      <patternFill patternType="solid">
        <fgColor rgb="FFF2F2F2"/>
        <bgColor rgb="FF000000"/>
      </patternFill>
    </fill>
    <fill>
      <patternFill patternType="solid">
        <fgColor theme="8" tint="0.79998168889431442"/>
        <bgColor indexed="64"/>
      </patternFill>
    </fill>
    <fill>
      <patternFill patternType="solid">
        <fgColor theme="2" tint="-9.9978637043366805E-2"/>
        <bgColor indexed="64"/>
      </patternFill>
    </fill>
    <fill>
      <patternFill patternType="solid">
        <fgColor rgb="FFF2DCDB"/>
        <bgColor rgb="FF000000"/>
      </patternFill>
    </fill>
    <fill>
      <patternFill patternType="solid">
        <fgColor theme="9" tint="0.79998168889431442"/>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8"/>
        <bgColor rgb="FF000000"/>
      </patternFill>
    </fill>
    <fill>
      <patternFill patternType="solid">
        <fgColor theme="8"/>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50">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191">
    <xf numFmtId="0" fontId="0" fillId="0" borderId="0" xfId="0"/>
    <xf numFmtId="0" fontId="0" fillId="0" borderId="0" xfId="0" applyFill="1"/>
    <xf numFmtId="0" fontId="17" fillId="0" borderId="0" xfId="0" applyFont="1"/>
    <xf numFmtId="0" fontId="20" fillId="12" borderId="0" xfId="49" applyFont="1" applyFill="1"/>
    <xf numFmtId="0" fontId="17" fillId="12" borderId="0" xfId="0" applyFont="1" applyFill="1"/>
    <xf numFmtId="0" fontId="17" fillId="0" borderId="0" xfId="0" applyFont="1" applyFill="1"/>
    <xf numFmtId="0" fontId="23" fillId="0" borderId="0" xfId="0" applyFont="1" applyFill="1" applyBorder="1" applyAlignment="1">
      <alignment vertical="center"/>
    </xf>
    <xf numFmtId="0" fontId="23" fillId="14" borderId="0" xfId="0" applyFont="1" applyFill="1" applyBorder="1" applyAlignment="1">
      <alignment vertical="center"/>
    </xf>
    <xf numFmtId="0" fontId="21" fillId="15" borderId="0" xfId="0" applyFont="1" applyFill="1"/>
    <xf numFmtId="0" fontId="0" fillId="15" borderId="0" xfId="0" applyFill="1"/>
    <xf numFmtId="0" fontId="17" fillId="2" borderId="0" xfId="0" applyFont="1" applyFill="1"/>
    <xf numFmtId="0" fontId="23" fillId="15" borderId="0" xfId="0" applyFont="1" applyFill="1" applyBorder="1" applyAlignment="1">
      <alignment vertical="center"/>
    </xf>
    <xf numFmtId="0" fontId="26" fillId="0" borderId="0" xfId="0" applyFont="1" applyFill="1" applyBorder="1" applyAlignment="1">
      <alignment vertical="center"/>
    </xf>
    <xf numFmtId="0" fontId="17" fillId="13" borderId="0" xfId="0" applyFont="1" applyFill="1"/>
    <xf numFmtId="0" fontId="24" fillId="14" borderId="0" xfId="0" applyFont="1" applyFill="1" applyBorder="1" applyAlignment="1">
      <alignment vertical="center" wrapText="1"/>
    </xf>
    <xf numFmtId="0" fontId="23" fillId="0" borderId="0" xfId="0" applyFont="1" applyFill="1" applyBorder="1" applyAlignment="1">
      <alignment vertical="center" wrapText="1"/>
    </xf>
    <xf numFmtId="0" fontId="22" fillId="0" borderId="0" xfId="0" applyFont="1" applyFill="1" applyBorder="1" applyAlignment="1">
      <alignment vertical="center" wrapText="1"/>
    </xf>
    <xf numFmtId="0" fontId="26" fillId="0" borderId="0" xfId="0" applyFont="1" applyFill="1" applyBorder="1" applyAlignment="1">
      <alignment vertical="center" wrapText="1"/>
    </xf>
    <xf numFmtId="0" fontId="24" fillId="15" borderId="0" xfId="0" applyFont="1" applyFill="1" applyBorder="1" applyAlignment="1">
      <alignment vertical="center" wrapText="1"/>
    </xf>
    <xf numFmtId="0" fontId="0" fillId="0" borderId="0" xfId="0" applyAlignment="1">
      <alignment wrapText="1"/>
    </xf>
    <xf numFmtId="0" fontId="20" fillId="3" borderId="0" xfId="49" applyFont="1" applyFill="1"/>
    <xf numFmtId="0" fontId="20" fillId="9" borderId="0" xfId="49" applyFont="1" applyFill="1"/>
    <xf numFmtId="0" fontId="20" fillId="2" borderId="0" xfId="49" applyFont="1" applyFill="1"/>
    <xf numFmtId="0" fontId="20" fillId="11" borderId="0" xfId="49" applyFont="1" applyFill="1"/>
    <xf numFmtId="0" fontId="20" fillId="13" borderId="0" xfId="49" applyFont="1" applyFill="1"/>
    <xf numFmtId="0" fontId="4" fillId="0" borderId="0" xfId="49" applyFill="1" applyBorder="1" applyAlignment="1">
      <alignment vertical="center" wrapText="1"/>
    </xf>
    <xf numFmtId="0" fontId="27" fillId="0" borderId="0" xfId="0" applyFont="1" applyFill="1" applyBorder="1" applyAlignment="1">
      <alignment vertical="center" wrapText="1"/>
    </xf>
    <xf numFmtId="0" fontId="27" fillId="0" borderId="0" xfId="0" applyFont="1" applyFill="1" applyBorder="1" applyAlignment="1">
      <alignment vertical="center"/>
    </xf>
    <xf numFmtId="0" fontId="20" fillId="0" borderId="0" xfId="49" applyFont="1" applyFill="1"/>
    <xf numFmtId="0" fontId="20" fillId="4" borderId="0" xfId="49" applyFont="1" applyFill="1"/>
    <xf numFmtId="0" fontId="17" fillId="4" borderId="0" xfId="0" applyFont="1" applyFill="1"/>
    <xf numFmtId="0" fontId="20" fillId="5" borderId="0" xfId="49" applyFont="1" applyFill="1"/>
    <xf numFmtId="0" fontId="28" fillId="0" borderId="0" xfId="0" applyFont="1" applyFill="1" applyBorder="1" applyAlignment="1">
      <alignment vertical="center" wrapText="1"/>
    </xf>
    <xf numFmtId="0" fontId="29" fillId="0" borderId="0" xfId="0" applyFont="1" applyFill="1" applyBorder="1" applyAlignment="1">
      <alignment vertical="center" wrapText="1"/>
    </xf>
    <xf numFmtId="0" fontId="24" fillId="0" borderId="0" xfId="0" applyFont="1" applyFill="1" applyBorder="1" applyAlignment="1">
      <alignment vertical="center" wrapText="1"/>
    </xf>
    <xf numFmtId="0" fontId="20" fillId="0" borderId="0" xfId="49" applyFont="1" applyFill="1" applyBorder="1" applyAlignment="1">
      <alignment vertical="center" wrapText="1"/>
    </xf>
    <xf numFmtId="14" fontId="28" fillId="0" borderId="0" xfId="0" applyNumberFormat="1" applyFont="1" applyFill="1" applyBorder="1" applyAlignment="1">
      <alignment horizontal="left" vertical="center" wrapText="1"/>
    </xf>
    <xf numFmtId="0" fontId="28" fillId="0" borderId="0" xfId="0" applyFont="1" applyFill="1" applyBorder="1" applyAlignment="1">
      <alignment vertical="center"/>
    </xf>
    <xf numFmtId="0" fontId="31" fillId="15" borderId="0" xfId="0" applyFont="1" applyFill="1"/>
    <xf numFmtId="0" fontId="0" fillId="0" borderId="0" xfId="0" applyProtection="1">
      <protection locked="0"/>
    </xf>
    <xf numFmtId="0" fontId="25" fillId="15" borderId="1" xfId="0" applyFont="1" applyFill="1" applyBorder="1" applyAlignment="1" applyProtection="1">
      <alignment horizontal="center" vertical="center"/>
      <protection locked="0"/>
    </xf>
    <xf numFmtId="0" fontId="25" fillId="15" borderId="1" xfId="0" applyFont="1" applyFill="1" applyBorder="1" applyAlignment="1" applyProtection="1">
      <alignment horizontal="center" vertical="center" wrapText="1"/>
      <protection locked="0"/>
    </xf>
    <xf numFmtId="0" fontId="9" fillId="0" borderId="0" xfId="0" applyFont="1" applyBorder="1" applyAlignment="1" applyProtection="1">
      <alignment horizontal="center" vertical="center"/>
      <protection locked="0"/>
    </xf>
    <xf numFmtId="0" fontId="7" fillId="0" borderId="0" xfId="0" applyFont="1" applyBorder="1" applyAlignment="1" applyProtection="1">
      <alignment vertical="top" wrapText="1"/>
      <protection locked="0"/>
    </xf>
    <xf numFmtId="0" fontId="7" fillId="2" borderId="0" xfId="0" applyFont="1" applyFill="1" applyBorder="1" applyAlignment="1" applyProtection="1">
      <alignment vertical="center" wrapText="1"/>
      <protection locked="0"/>
    </xf>
    <xf numFmtId="0" fontId="10" fillId="2" borderId="0" xfId="0" applyFont="1" applyFill="1" applyBorder="1" applyAlignment="1" applyProtection="1">
      <alignment vertical="center" wrapText="1"/>
      <protection locked="0"/>
    </xf>
    <xf numFmtId="0" fontId="7" fillId="2" borderId="0" xfId="0" applyFont="1" applyFill="1" applyBorder="1" applyAlignment="1" applyProtection="1">
      <alignment horizontal="left" vertical="center" wrapText="1"/>
      <protection locked="0"/>
    </xf>
    <xf numFmtId="0" fontId="7" fillId="0" borderId="0" xfId="0" applyFont="1" applyBorder="1" applyProtection="1">
      <protection locked="0"/>
    </xf>
    <xf numFmtId="0" fontId="7" fillId="0" borderId="0" xfId="0" applyFont="1" applyBorder="1" applyAlignment="1" applyProtection="1">
      <alignment vertical="center" wrapText="1"/>
      <protection locked="0"/>
    </xf>
    <xf numFmtId="0" fontId="7" fillId="0" borderId="0" xfId="0" applyFont="1" applyProtection="1">
      <protection locked="0"/>
    </xf>
    <xf numFmtId="0" fontId="7" fillId="0" borderId="0" xfId="0" applyFont="1" applyFill="1" applyBorder="1" applyProtection="1">
      <protection locked="0"/>
    </xf>
    <xf numFmtId="0" fontId="0" fillId="0" borderId="0" xfId="0" applyFill="1" applyProtection="1">
      <protection locked="0"/>
    </xf>
    <xf numFmtId="0" fontId="7" fillId="0" borderId="0" xfId="0" applyFont="1" applyFill="1" applyBorder="1" applyAlignment="1" applyProtection="1">
      <alignment vertical="center" wrapText="1"/>
      <protection locked="0"/>
    </xf>
    <xf numFmtId="0" fontId="7" fillId="12" borderId="0" xfId="0" applyFont="1" applyFill="1" applyBorder="1" applyAlignment="1" applyProtection="1">
      <alignment vertical="center" wrapText="1"/>
      <protection locked="0"/>
    </xf>
    <xf numFmtId="0" fontId="10" fillId="12" borderId="0" xfId="0" applyFont="1" applyFill="1" applyBorder="1" applyAlignment="1" applyProtection="1">
      <alignment vertical="center" wrapText="1"/>
      <protection locked="0"/>
    </xf>
    <xf numFmtId="0" fontId="7" fillId="3" borderId="0" xfId="0" applyFont="1" applyFill="1" applyBorder="1" applyAlignment="1" applyProtection="1">
      <alignment vertical="center" wrapText="1"/>
      <protection locked="0"/>
    </xf>
    <xf numFmtId="0" fontId="10" fillId="0" borderId="0" xfId="0" applyFont="1" applyFill="1" applyBorder="1" applyAlignment="1" applyProtection="1">
      <alignment vertical="center" wrapText="1"/>
      <protection locked="0"/>
    </xf>
    <xf numFmtId="0" fontId="10" fillId="4" borderId="0" xfId="0" applyFont="1" applyFill="1" applyBorder="1" applyAlignment="1" applyProtection="1">
      <alignment vertical="center" wrapText="1"/>
      <protection locked="0"/>
    </xf>
    <xf numFmtId="0" fontId="7" fillId="4" borderId="0" xfId="0" applyFont="1" applyFill="1" applyBorder="1" applyAlignment="1" applyProtection="1">
      <alignment vertical="center" wrapText="1"/>
      <protection locked="0"/>
    </xf>
    <xf numFmtId="0" fontId="7" fillId="4" borderId="0" xfId="0" applyFont="1" applyFill="1" applyBorder="1" applyAlignment="1" applyProtection="1">
      <alignment horizontal="left" vertical="center" wrapText="1"/>
      <protection locked="0"/>
    </xf>
    <xf numFmtId="0" fontId="7" fillId="4" borderId="0" xfId="0" applyFont="1" applyFill="1" applyBorder="1" applyAlignment="1" applyProtection="1">
      <alignment vertical="center"/>
      <protection locked="0"/>
    </xf>
    <xf numFmtId="0" fontId="7" fillId="5" borderId="0" xfId="0" applyFont="1" applyFill="1" applyBorder="1" applyAlignment="1" applyProtection="1">
      <alignment vertical="center" wrapText="1"/>
      <protection locked="0"/>
    </xf>
    <xf numFmtId="0" fontId="11" fillId="7" borderId="0" xfId="0" applyFont="1" applyFill="1" applyAlignment="1" applyProtection="1">
      <alignment vertical="center" wrapText="1"/>
      <protection locked="0"/>
    </xf>
    <xf numFmtId="0" fontId="11" fillId="5" borderId="0" xfId="0" applyFont="1" applyFill="1" applyBorder="1" applyAlignment="1" applyProtection="1">
      <alignment vertical="center" wrapText="1"/>
      <protection locked="0"/>
    </xf>
    <xf numFmtId="0" fontId="11" fillId="0" borderId="0" xfId="0" applyFont="1" applyBorder="1" applyProtection="1">
      <protection locked="0"/>
    </xf>
    <xf numFmtId="0" fontId="11" fillId="0" borderId="0" xfId="0" applyFont="1" applyBorder="1" applyAlignment="1" applyProtection="1">
      <alignment vertical="center" wrapText="1"/>
      <protection locked="0"/>
    </xf>
    <xf numFmtId="0" fontId="10" fillId="0" borderId="0" xfId="0" applyFont="1" applyFill="1" applyBorder="1" applyAlignment="1" applyProtection="1">
      <alignment vertical="top" wrapText="1"/>
      <protection locked="0"/>
    </xf>
    <xf numFmtId="0" fontId="10" fillId="5" borderId="0" xfId="0" applyFont="1" applyFill="1" applyBorder="1" applyAlignment="1" applyProtection="1">
      <alignment vertical="center" wrapText="1"/>
      <protection locked="0"/>
    </xf>
    <xf numFmtId="0" fontId="7" fillId="11" borderId="0" xfId="0" applyFont="1" applyFill="1" applyBorder="1" applyAlignment="1" applyProtection="1">
      <alignment vertical="center" wrapText="1"/>
      <protection locked="0"/>
    </xf>
    <xf numFmtId="0" fontId="7" fillId="13" borderId="0" xfId="0" applyFont="1" applyFill="1" applyBorder="1" applyAlignment="1" applyProtection="1">
      <alignment horizontal="left" vertical="center"/>
      <protection locked="0"/>
    </xf>
    <xf numFmtId="0" fontId="7" fillId="8" borderId="0" xfId="0" applyFont="1" applyFill="1" applyBorder="1" applyAlignment="1" applyProtection="1">
      <alignment vertical="center" wrapText="1"/>
      <protection locked="0"/>
    </xf>
    <xf numFmtId="0" fontId="10" fillId="9" borderId="0" xfId="0" applyFont="1" applyFill="1" applyBorder="1" applyAlignment="1" applyProtection="1">
      <alignment vertical="center" wrapText="1"/>
      <protection locked="0"/>
    </xf>
    <xf numFmtId="0" fontId="2" fillId="0" borderId="0" xfId="0" applyFont="1" applyFill="1" applyProtection="1">
      <protection locked="0"/>
    </xf>
    <xf numFmtId="0" fontId="3" fillId="15" borderId="0" xfId="0" applyFont="1" applyFill="1" applyProtection="1">
      <protection locked="0"/>
    </xf>
    <xf numFmtId="0" fontId="1" fillId="0" borderId="0" xfId="0" applyFont="1" applyBorder="1" applyAlignment="1" applyProtection="1">
      <alignment horizontal="center" vertical="center"/>
      <protection locked="0"/>
    </xf>
    <xf numFmtId="0" fontId="17" fillId="2" borderId="0" xfId="0" applyFont="1" applyFill="1" applyBorder="1" applyAlignment="1" applyProtection="1">
      <alignment vertical="center" wrapText="1"/>
      <protection locked="0"/>
    </xf>
    <xf numFmtId="0" fontId="25" fillId="15" borderId="1" xfId="0" applyFont="1" applyFill="1" applyBorder="1" applyAlignment="1" applyProtection="1">
      <alignment horizontal="center" vertical="center"/>
    </xf>
    <xf numFmtId="0" fontId="9" fillId="0" borderId="0" xfId="0" applyFont="1" applyBorder="1" applyAlignment="1" applyProtection="1">
      <alignment horizontal="center" vertical="center"/>
    </xf>
    <xf numFmtId="0" fontId="12" fillId="0" borderId="0" xfId="0" applyFont="1" applyBorder="1" applyAlignment="1" applyProtection="1">
      <alignment horizontal="center" vertical="center"/>
    </xf>
    <xf numFmtId="0" fontId="7" fillId="2" borderId="0" xfId="0" applyFont="1" applyFill="1" applyBorder="1" applyAlignment="1" applyProtection="1">
      <alignment horizontal="left" vertical="center" wrapText="1"/>
    </xf>
    <xf numFmtId="0" fontId="17" fillId="0" borderId="0" xfId="0" applyFont="1" applyBorder="1" applyProtection="1"/>
    <xf numFmtId="0" fontId="7" fillId="0" borderId="0" xfId="0" applyFont="1" applyBorder="1" applyAlignment="1" applyProtection="1">
      <alignment vertical="top"/>
    </xf>
    <xf numFmtId="0" fontId="7" fillId="0" borderId="0" xfId="0" applyFont="1" applyFill="1" applyBorder="1" applyAlignment="1" applyProtection="1">
      <alignment horizontal="center" vertical="center"/>
    </xf>
    <xf numFmtId="0" fontId="7" fillId="2" borderId="0" xfId="0" applyFont="1" applyFill="1" applyBorder="1" applyAlignment="1" applyProtection="1">
      <alignment vertical="center" wrapText="1"/>
    </xf>
    <xf numFmtId="0" fontId="7" fillId="0" borderId="0" xfId="0" applyFont="1" applyFill="1" applyBorder="1" applyAlignment="1" applyProtection="1">
      <alignment vertical="center" wrapText="1"/>
    </xf>
    <xf numFmtId="0" fontId="7" fillId="0" borderId="0" xfId="0" applyFont="1" applyFill="1" applyBorder="1" applyProtection="1"/>
    <xf numFmtId="0" fontId="19" fillId="10" borderId="0" xfId="0" applyFont="1" applyFill="1" applyBorder="1" applyAlignment="1" applyProtection="1">
      <alignment vertical="center" wrapText="1"/>
    </xf>
    <xf numFmtId="0" fontId="7" fillId="0" borderId="0" xfId="0" applyFont="1" applyBorder="1" applyAlignment="1" applyProtection="1">
      <alignment horizontal="center" vertical="center"/>
    </xf>
    <xf numFmtId="0" fontId="11" fillId="10" borderId="0" xfId="0" applyFont="1" applyFill="1" applyBorder="1" applyAlignment="1" applyProtection="1">
      <alignment vertical="center" wrapText="1"/>
    </xf>
    <xf numFmtId="0" fontId="10" fillId="2" borderId="0" xfId="0" applyFont="1" applyFill="1" applyBorder="1" applyAlignment="1" applyProtection="1">
      <alignment vertical="center" wrapText="1"/>
    </xf>
    <xf numFmtId="0" fontId="7" fillId="0" borderId="0" xfId="0" applyFont="1" applyBorder="1" applyAlignment="1" applyProtection="1">
      <alignment horizontal="center" vertical="center" wrapText="1"/>
    </xf>
    <xf numFmtId="0" fontId="17" fillId="0" borderId="0" xfId="0" applyFont="1" applyBorder="1" applyAlignment="1" applyProtection="1">
      <alignment horizontal="center" vertical="center"/>
    </xf>
    <xf numFmtId="0" fontId="18" fillId="2" borderId="0" xfId="0" applyFont="1" applyFill="1" applyBorder="1" applyAlignment="1" applyProtection="1">
      <alignment vertical="center" wrapText="1"/>
    </xf>
    <xf numFmtId="0" fontId="10" fillId="0" borderId="0" xfId="0" applyFont="1" applyFill="1" applyBorder="1" applyAlignment="1" applyProtection="1">
      <alignment vertical="center" wrapText="1"/>
    </xf>
    <xf numFmtId="0" fontId="10" fillId="2" borderId="0" xfId="0" applyFont="1" applyFill="1" applyBorder="1" applyAlignment="1" applyProtection="1">
      <alignment vertical="center"/>
    </xf>
    <xf numFmtId="0" fontId="10" fillId="10" borderId="0" xfId="0" applyFont="1" applyFill="1" applyBorder="1" applyAlignment="1" applyProtection="1">
      <alignment vertical="center" wrapText="1"/>
    </xf>
    <xf numFmtId="0" fontId="7" fillId="0" borderId="0" xfId="0" applyFont="1" applyBorder="1" applyProtection="1"/>
    <xf numFmtId="0" fontId="7" fillId="0" borderId="0" xfId="0" applyFont="1" applyFill="1" applyBorder="1" applyAlignment="1" applyProtection="1">
      <alignment vertical="top" wrapText="1"/>
    </xf>
    <xf numFmtId="0" fontId="11" fillId="0" borderId="0" xfId="0" applyFont="1" applyAlignment="1" applyProtection="1">
      <alignment horizontal="center" vertical="center"/>
    </xf>
    <xf numFmtId="0" fontId="17" fillId="2" borderId="0" xfId="0" applyFont="1" applyFill="1" applyBorder="1" applyAlignment="1" applyProtection="1">
      <alignment vertical="center" wrapText="1"/>
    </xf>
    <xf numFmtId="0" fontId="7" fillId="0" borderId="0" xfId="0" applyFont="1" applyBorder="1" applyAlignment="1" applyProtection="1">
      <alignment vertical="center" wrapText="1"/>
    </xf>
    <xf numFmtId="0" fontId="7" fillId="0" borderId="0" xfId="0" applyFont="1" applyAlignment="1" applyProtection="1">
      <alignment vertical="center" wrapText="1"/>
    </xf>
    <xf numFmtId="49" fontId="18" fillId="2" borderId="0" xfId="0" applyNumberFormat="1" applyFont="1" applyFill="1" applyBorder="1" applyAlignment="1" applyProtection="1">
      <alignment vertical="center" wrapText="1"/>
    </xf>
    <xf numFmtId="0" fontId="10" fillId="0" borderId="0" xfId="0" applyFont="1" applyBorder="1" applyAlignment="1" applyProtection="1">
      <alignment vertical="center" wrapText="1"/>
    </xf>
    <xf numFmtId="49" fontId="10" fillId="0" borderId="0" xfId="0" applyNumberFormat="1" applyFont="1" applyAlignment="1" applyProtection="1">
      <alignment vertical="center" wrapText="1"/>
    </xf>
    <xf numFmtId="0" fontId="17" fillId="0" borderId="0" xfId="0" applyFont="1" applyBorder="1" applyAlignment="1" applyProtection="1">
      <alignment vertical="center" wrapText="1"/>
    </xf>
    <xf numFmtId="49" fontId="10" fillId="2" borderId="0" xfId="0" applyNumberFormat="1" applyFont="1" applyFill="1" applyAlignment="1" applyProtection="1">
      <alignment horizontal="left" vertical="center" wrapText="1"/>
    </xf>
    <xf numFmtId="0" fontId="7" fillId="0" borderId="0" xfId="0" applyFont="1" applyBorder="1" applyAlignment="1" applyProtection="1">
      <alignment wrapText="1"/>
    </xf>
    <xf numFmtId="0" fontId="10" fillId="0" borderId="0" xfId="0" applyFont="1" applyAlignment="1" applyProtection="1">
      <alignment wrapText="1"/>
    </xf>
    <xf numFmtId="0" fontId="11" fillId="0" borderId="0" xfId="0" applyFont="1" applyFill="1" applyBorder="1" applyAlignment="1" applyProtection="1">
      <alignment vertical="center" wrapText="1"/>
    </xf>
    <xf numFmtId="0" fontId="7" fillId="12" borderId="0" xfId="0" applyFont="1" applyFill="1" applyBorder="1" applyAlignment="1" applyProtection="1">
      <alignment vertical="center" wrapText="1"/>
    </xf>
    <xf numFmtId="0" fontId="7" fillId="0" borderId="0" xfId="0" applyFont="1" applyFill="1" applyBorder="1" applyAlignment="1" applyProtection="1">
      <alignment horizontal="center" vertical="center" wrapText="1"/>
    </xf>
    <xf numFmtId="0" fontId="17" fillId="12" borderId="0" xfId="0" applyFont="1" applyFill="1" applyBorder="1" applyAlignment="1" applyProtection="1">
      <alignment vertical="center" wrapText="1"/>
    </xf>
    <xf numFmtId="0" fontId="11" fillId="12" borderId="0" xfId="0" applyFont="1" applyFill="1" applyBorder="1" applyAlignment="1" applyProtection="1">
      <alignment vertical="center" wrapText="1"/>
    </xf>
    <xf numFmtId="0" fontId="10" fillId="12" borderId="0" xfId="0" applyFont="1" applyFill="1" applyBorder="1" applyAlignment="1" applyProtection="1">
      <alignment vertical="center" wrapText="1"/>
    </xf>
    <xf numFmtId="0" fontId="7" fillId="0" borderId="0" xfId="0" applyFont="1" applyBorder="1" applyAlignment="1" applyProtection="1">
      <alignment vertical="top" wrapText="1"/>
    </xf>
    <xf numFmtId="0" fontId="18" fillId="12" borderId="0" xfId="0" applyFont="1" applyFill="1" applyBorder="1" applyAlignment="1" applyProtection="1">
      <alignment vertical="center" wrapText="1"/>
    </xf>
    <xf numFmtId="0" fontId="16" fillId="0" borderId="0" xfId="0" applyFont="1" applyAlignment="1" applyProtection="1">
      <alignment vertical="center" wrapText="1"/>
    </xf>
    <xf numFmtId="0" fontId="7" fillId="3" borderId="0" xfId="0" applyFont="1" applyFill="1" applyBorder="1" applyAlignment="1" applyProtection="1">
      <alignment vertical="center" wrapText="1"/>
    </xf>
    <xf numFmtId="0" fontId="7" fillId="0" borderId="0" xfId="0" applyFont="1" applyFill="1" applyBorder="1" applyAlignment="1" applyProtection="1">
      <alignment vertical="top"/>
    </xf>
    <xf numFmtId="0" fontId="17" fillId="3" borderId="0" xfId="0" applyFont="1" applyFill="1" applyBorder="1" applyAlignment="1" applyProtection="1">
      <alignment vertical="center" wrapText="1"/>
    </xf>
    <xf numFmtId="0" fontId="7" fillId="0" borderId="0" xfId="0" applyFont="1" applyFill="1" applyBorder="1" applyAlignment="1" applyProtection="1">
      <alignment vertical="center"/>
    </xf>
    <xf numFmtId="0" fontId="7" fillId="3" borderId="0" xfId="0" applyFont="1" applyFill="1" applyBorder="1" applyAlignment="1" applyProtection="1">
      <alignment vertical="center"/>
    </xf>
    <xf numFmtId="0" fontId="10" fillId="3" borderId="0" xfId="0" applyFont="1" applyFill="1" applyBorder="1" applyAlignment="1" applyProtection="1">
      <alignment vertical="center" wrapText="1"/>
    </xf>
    <xf numFmtId="0" fontId="18" fillId="3" borderId="0" xfId="0" applyFont="1" applyFill="1" applyBorder="1" applyAlignment="1" applyProtection="1">
      <alignment vertical="center" wrapText="1"/>
    </xf>
    <xf numFmtId="0" fontId="7" fillId="4" borderId="0" xfId="0" applyFont="1" applyFill="1" applyBorder="1" applyAlignment="1" applyProtection="1">
      <alignment vertical="center" wrapText="1"/>
    </xf>
    <xf numFmtId="0" fontId="18" fillId="4" borderId="0" xfId="0" applyFont="1" applyFill="1" applyBorder="1" applyAlignment="1" applyProtection="1">
      <alignment vertical="center" wrapText="1"/>
    </xf>
    <xf numFmtId="0" fontId="10" fillId="4" borderId="0" xfId="0" applyFont="1" applyFill="1" applyBorder="1" applyAlignment="1" applyProtection="1">
      <alignment vertical="center" wrapText="1"/>
    </xf>
    <xf numFmtId="0" fontId="10" fillId="0" borderId="0" xfId="0" applyFont="1" applyFill="1" applyBorder="1" applyProtection="1"/>
    <xf numFmtId="0" fontId="17" fillId="4" borderId="0" xfId="0" applyFont="1" applyFill="1" applyBorder="1" applyAlignment="1" applyProtection="1">
      <alignment vertical="center" wrapText="1"/>
    </xf>
    <xf numFmtId="0" fontId="13" fillId="0" borderId="0" xfId="0" applyFont="1" applyFill="1" applyBorder="1" applyAlignment="1" applyProtection="1">
      <alignment vertical="center" wrapText="1"/>
    </xf>
    <xf numFmtId="0" fontId="13" fillId="0" borderId="0" xfId="0" applyFont="1" applyBorder="1" applyAlignment="1" applyProtection="1">
      <alignment vertical="center" wrapText="1"/>
    </xf>
    <xf numFmtId="0" fontId="13" fillId="4" borderId="0" xfId="0" applyFont="1" applyFill="1" applyBorder="1" applyAlignment="1" applyProtection="1">
      <alignment vertical="center" wrapText="1"/>
    </xf>
    <xf numFmtId="0" fontId="10" fillId="0" borderId="0" xfId="0" applyFont="1" applyFill="1" applyBorder="1" applyAlignment="1" applyProtection="1">
      <alignment vertical="center"/>
    </xf>
    <xf numFmtId="0" fontId="7" fillId="0" borderId="0" xfId="0" applyFont="1" applyBorder="1" applyAlignment="1" applyProtection="1">
      <alignment vertical="center"/>
    </xf>
    <xf numFmtId="0" fontId="11" fillId="6" borderId="0" xfId="0" applyFont="1" applyFill="1" applyBorder="1" applyAlignment="1" applyProtection="1">
      <alignment vertical="center" wrapText="1"/>
    </xf>
    <xf numFmtId="0" fontId="7" fillId="4" borderId="0" xfId="0" applyFont="1" applyFill="1" applyBorder="1" applyAlignment="1" applyProtection="1">
      <alignment vertical="center"/>
    </xf>
    <xf numFmtId="0" fontId="7" fillId="5" borderId="0" xfId="0" applyFont="1" applyFill="1" applyBorder="1" applyAlignment="1" applyProtection="1">
      <alignment vertical="center" wrapText="1"/>
    </xf>
    <xf numFmtId="0" fontId="17" fillId="5" borderId="0" xfId="0" applyFont="1" applyFill="1" applyBorder="1" applyAlignment="1" applyProtection="1">
      <alignment vertical="center" wrapText="1"/>
    </xf>
    <xf numFmtId="0" fontId="10" fillId="5" borderId="0" xfId="0" applyFont="1" applyFill="1" applyBorder="1" applyAlignment="1" applyProtection="1">
      <alignment vertical="center" wrapText="1"/>
    </xf>
    <xf numFmtId="0" fontId="18" fillId="7" borderId="0" xfId="0" applyFont="1" applyFill="1" applyAlignment="1" applyProtection="1">
      <alignment vertical="center" wrapText="1"/>
    </xf>
    <xf numFmtId="0" fontId="10" fillId="7" borderId="0" xfId="0" applyFont="1" applyFill="1" applyAlignment="1" applyProtection="1">
      <alignment vertical="center" wrapText="1"/>
    </xf>
    <xf numFmtId="0" fontId="11" fillId="0" borderId="0" xfId="0" applyFont="1" applyFill="1" applyAlignment="1" applyProtection="1">
      <alignment vertical="center"/>
    </xf>
    <xf numFmtId="0" fontId="11" fillId="7" borderId="0" xfId="0" applyFont="1" applyFill="1" applyAlignment="1" applyProtection="1">
      <alignment vertical="center"/>
    </xf>
    <xf numFmtId="0" fontId="11" fillId="0" borderId="0" xfId="0" applyFont="1" applyBorder="1" applyAlignment="1" applyProtection="1">
      <alignment horizontal="center" vertical="center"/>
    </xf>
    <xf numFmtId="0" fontId="11" fillId="5" borderId="0" xfId="0" applyFont="1" applyFill="1" applyBorder="1" applyAlignment="1" applyProtection="1">
      <alignment horizontal="left" vertical="center" wrapText="1"/>
    </xf>
    <xf numFmtId="0" fontId="11" fillId="0" borderId="0" xfId="0" applyFont="1" applyFill="1" applyBorder="1" applyProtection="1"/>
    <xf numFmtId="0" fontId="11" fillId="5" borderId="0" xfId="0" applyFont="1" applyFill="1" applyBorder="1" applyAlignment="1" applyProtection="1">
      <alignment vertical="center" wrapText="1"/>
    </xf>
    <xf numFmtId="0" fontId="19" fillId="7" borderId="0" xfId="0" applyFont="1" applyFill="1" applyBorder="1" applyAlignment="1" applyProtection="1">
      <alignment vertical="center" wrapText="1"/>
    </xf>
    <xf numFmtId="0" fontId="11" fillId="0" borderId="0" xfId="0" applyFont="1" applyFill="1" applyBorder="1" applyAlignment="1" applyProtection="1">
      <alignment wrapText="1"/>
    </xf>
    <xf numFmtId="0" fontId="11" fillId="7" borderId="0" xfId="0" applyFont="1" applyFill="1" applyBorder="1" applyAlignment="1" applyProtection="1">
      <alignment vertical="center" wrapText="1"/>
    </xf>
    <xf numFmtId="0" fontId="19" fillId="5" borderId="0" xfId="0" applyFont="1" applyFill="1" applyBorder="1" applyAlignment="1" applyProtection="1">
      <alignment vertical="center" wrapText="1"/>
    </xf>
    <xf numFmtId="0" fontId="10" fillId="7" borderId="0" xfId="0" applyFont="1" applyFill="1" applyBorder="1" applyAlignment="1" applyProtection="1">
      <alignment vertical="center" wrapText="1"/>
    </xf>
    <xf numFmtId="0" fontId="11" fillId="0" borderId="0" xfId="0" applyFont="1" applyFill="1" applyBorder="1" applyAlignment="1" applyProtection="1">
      <alignment vertical="center"/>
    </xf>
    <xf numFmtId="0" fontId="11" fillId="5" borderId="0" xfId="0" applyFont="1" applyFill="1" applyBorder="1" applyAlignment="1" applyProtection="1">
      <alignment vertical="center"/>
    </xf>
    <xf numFmtId="0" fontId="7" fillId="5" borderId="0" xfId="0" applyFont="1" applyFill="1" applyBorder="1" applyAlignment="1" applyProtection="1">
      <alignment vertical="center"/>
    </xf>
    <xf numFmtId="0" fontId="17" fillId="3" borderId="0" xfId="0" applyFont="1" applyFill="1" applyBorder="1" applyAlignment="1" applyProtection="1">
      <alignment vertical="center"/>
    </xf>
    <xf numFmtId="0" fontId="19" fillId="3" borderId="0" xfId="0" applyFont="1" applyFill="1" applyBorder="1" applyAlignment="1" applyProtection="1">
      <alignment horizontal="left" vertical="center" wrapText="1"/>
    </xf>
    <xf numFmtId="0" fontId="11" fillId="0" borderId="0" xfId="0" applyFont="1" applyBorder="1" applyAlignment="1" applyProtection="1">
      <alignment horizontal="left" vertical="center" wrapText="1"/>
    </xf>
    <xf numFmtId="0" fontId="10" fillId="3" borderId="0" xfId="0" applyFont="1" applyFill="1" applyBorder="1" applyAlignment="1" applyProtection="1">
      <alignment horizontal="left" vertical="center" wrapText="1"/>
    </xf>
    <xf numFmtId="0" fontId="11" fillId="0" borderId="0" xfId="0" applyFont="1" applyFill="1" applyBorder="1" applyAlignment="1" applyProtection="1">
      <alignment horizontal="left" vertical="center" wrapText="1"/>
    </xf>
    <xf numFmtId="0" fontId="11" fillId="3"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11" borderId="0" xfId="0" applyFont="1" applyFill="1" applyBorder="1" applyAlignment="1" applyProtection="1">
      <alignment vertical="center" wrapText="1"/>
    </xf>
    <xf numFmtId="0" fontId="10" fillId="11" borderId="0" xfId="0" applyFont="1" applyFill="1" applyBorder="1" applyAlignment="1" applyProtection="1">
      <alignment vertical="center" wrapText="1"/>
    </xf>
    <xf numFmtId="0" fontId="7" fillId="13" borderId="0" xfId="0" applyFont="1" applyFill="1" applyBorder="1" applyAlignment="1" applyProtection="1">
      <alignment horizontal="left" vertical="center" wrapText="1"/>
    </xf>
    <xf numFmtId="0" fontId="18" fillId="13" borderId="0" xfId="0" applyFont="1" applyFill="1" applyBorder="1" applyAlignment="1" applyProtection="1">
      <alignment vertical="center" wrapText="1"/>
    </xf>
    <xf numFmtId="0" fontId="10" fillId="13" borderId="0" xfId="0" applyFont="1" applyFill="1" applyBorder="1" applyAlignment="1" applyProtection="1">
      <alignment vertical="center" wrapText="1"/>
    </xf>
    <xf numFmtId="0" fontId="17" fillId="13" borderId="0" xfId="0" applyFont="1" applyFill="1" applyBorder="1" applyAlignment="1" applyProtection="1">
      <alignment vertical="center" wrapText="1"/>
    </xf>
    <xf numFmtId="0" fontId="7" fillId="0" borderId="0" xfId="0" applyFont="1" applyBorder="1" applyAlignment="1" applyProtection="1">
      <alignment horizontal="center"/>
    </xf>
    <xf numFmtId="0" fontId="7" fillId="13" borderId="0" xfId="0" applyFont="1" applyFill="1" applyBorder="1" applyAlignment="1" applyProtection="1">
      <alignment vertical="center" wrapText="1"/>
    </xf>
    <xf numFmtId="0" fontId="10" fillId="8" borderId="0" xfId="0" applyFont="1" applyFill="1" applyBorder="1" applyAlignment="1" applyProtection="1">
      <alignment vertical="center" wrapText="1"/>
    </xf>
    <xf numFmtId="0" fontId="7" fillId="8" borderId="0" xfId="0" applyFont="1" applyFill="1" applyBorder="1" applyAlignment="1" applyProtection="1">
      <alignment vertical="center" wrapText="1"/>
    </xf>
    <xf numFmtId="0" fontId="10" fillId="9" borderId="0" xfId="0" applyFont="1" applyFill="1" applyBorder="1" applyAlignment="1" applyProtection="1">
      <alignment vertical="center" wrapText="1"/>
    </xf>
    <xf numFmtId="0" fontId="7" fillId="9" borderId="0" xfId="0" applyFont="1" applyFill="1" applyBorder="1" applyAlignment="1" applyProtection="1">
      <alignment vertical="center" wrapText="1"/>
    </xf>
    <xf numFmtId="0" fontId="11" fillId="0" borderId="0" xfId="0" applyFont="1" applyAlignment="1" applyProtection="1">
      <alignment vertical="center"/>
    </xf>
    <xf numFmtId="49" fontId="7" fillId="0" borderId="0" xfId="0" applyNumberFormat="1" applyFont="1" applyBorder="1" applyAlignment="1" applyProtection="1">
      <alignment wrapText="1"/>
    </xf>
    <xf numFmtId="49" fontId="7" fillId="0" borderId="0" xfId="0" applyNumberFormat="1" applyFont="1" applyAlignment="1" applyProtection="1">
      <alignment vertical="center" wrapText="1"/>
    </xf>
    <xf numFmtId="49" fontId="7" fillId="0" borderId="0" xfId="0" applyNumberFormat="1" applyFont="1" applyAlignment="1" applyProtection="1">
      <alignment wrapText="1"/>
    </xf>
    <xf numFmtId="0" fontId="7" fillId="0" borderId="0" xfId="0" applyFont="1" applyAlignment="1" applyProtection="1">
      <alignment wrapText="1"/>
    </xf>
    <xf numFmtId="49" fontId="11" fillId="0" borderId="0" xfId="0" applyNumberFormat="1" applyFont="1" applyAlignment="1" applyProtection="1">
      <alignment horizontal="left" vertical="center" indent="8"/>
    </xf>
    <xf numFmtId="49" fontId="7" fillId="0" borderId="0" xfId="0" applyNumberFormat="1" applyFont="1" applyBorder="1" applyProtection="1"/>
    <xf numFmtId="0" fontId="34" fillId="0" borderId="0" xfId="0" applyFont="1" applyFill="1"/>
    <xf numFmtId="0" fontId="35" fillId="0" borderId="0" xfId="0" applyFont="1"/>
    <xf numFmtId="0" fontId="33" fillId="0" borderId="0" xfId="0" applyFont="1"/>
    <xf numFmtId="0" fontId="32" fillId="0" borderId="0" xfId="0" applyFont="1" applyBorder="1" applyAlignment="1" applyProtection="1">
      <alignment horizontal="left" vertical="center" wrapText="1"/>
      <protection locked="0"/>
    </xf>
    <xf numFmtId="0" fontId="17" fillId="0" borderId="0" xfId="0" applyFont="1" applyAlignment="1" applyProtection="1">
      <alignment horizontal="left" vertical="center" wrapText="1"/>
      <protection locked="0"/>
    </xf>
    <xf numFmtId="0" fontId="17" fillId="0" borderId="0" xfId="0" applyFont="1" applyFill="1" applyAlignment="1" applyProtection="1">
      <alignment horizontal="left" vertical="center" wrapText="1"/>
      <protection locked="0"/>
    </xf>
    <xf numFmtId="0" fontId="17" fillId="0" borderId="0" xfId="0" applyFont="1" applyBorder="1" applyAlignment="1" applyProtection="1">
      <alignment horizontal="left" vertical="center" wrapText="1"/>
      <protection locked="0"/>
    </xf>
    <xf numFmtId="0" fontId="19" fillId="0" borderId="0" xfId="0" applyFont="1" applyAlignment="1" applyProtection="1">
      <alignment horizontal="left" vertical="center" wrapText="1"/>
      <protection locked="0"/>
    </xf>
    <xf numFmtId="0" fontId="18" fillId="0" borderId="0" xfId="0" applyFont="1" applyFill="1" applyAlignment="1" applyProtection="1">
      <alignment horizontal="left" vertical="center" wrapText="1"/>
      <protection locked="0"/>
    </xf>
  </cellXfs>
  <cellStyles count="5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2819400</xdr:colOff>
      <xdr:row>5</xdr:row>
      <xdr:rowOff>196681</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819400" cy="11968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487680</xdr:colOff>
          <xdr:row>27</xdr:row>
          <xdr:rowOff>106680</xdr:rowOff>
        </xdr:from>
        <xdr:to>
          <xdr:col>7</xdr:col>
          <xdr:colOff>502920</xdr:colOff>
          <xdr:row>29</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xmlns=""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200" b="0" i="0" u="none" strike="noStrike" baseline="0">
                  <a:solidFill>
                    <a:srgbClr val="000000"/>
                  </a:solidFill>
                  <a:latin typeface="Calibri"/>
                  <a:cs typeface="Calibri"/>
                </a:rPr>
                <a:t>Search</a:t>
              </a:r>
            </a:p>
          </xdr:txBody>
        </xdr:sp>
        <xdr:clientData fPrintsWithSheet="0"/>
      </xdr:twoCellAnchor>
    </mc:Choice>
    <mc:Fallback/>
  </mc:AlternateContent>
  <xdr:twoCellAnchor editAs="oneCell">
    <xdr:from>
      <xdr:col>0</xdr:col>
      <xdr:colOff>114301</xdr:colOff>
      <xdr:row>16</xdr:row>
      <xdr:rowOff>117476</xdr:rowOff>
    </xdr:from>
    <xdr:to>
      <xdr:col>7</xdr:col>
      <xdr:colOff>663197</xdr:colOff>
      <xdr:row>27</xdr:row>
      <xdr:rowOff>31751</xdr:rowOff>
    </xdr:to>
    <xdr:pic>
      <xdr:nvPicPr>
        <xdr:cNvPr id="2" name="Picture 1">
          <a:extLst>
            <a:ext uri="{FF2B5EF4-FFF2-40B4-BE49-F238E27FC236}">
              <a16:creationId xmlns:a16="http://schemas.microsoft.com/office/drawing/2014/main" xmlns="" id="{00000000-0008-0000-0200-000002000000}"/>
            </a:ext>
          </a:extLst>
        </xdr:cNvPr>
        <xdr:cNvPicPr>
          <a:picLocks noChangeAspect="1"/>
        </xdr:cNvPicPr>
      </xdr:nvPicPr>
      <xdr:blipFill>
        <a:blip xmlns:r="http://schemas.openxmlformats.org/officeDocument/2006/relationships" r:embed="rId1"/>
        <a:stretch>
          <a:fillRect/>
        </a:stretch>
      </xdr:blipFill>
      <xdr:spPr>
        <a:xfrm>
          <a:off x="114301" y="1387476"/>
          <a:ext cx="5260596" cy="21494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office@archivists.org.a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8:D73"/>
  <sheetViews>
    <sheetView tabSelected="1" topLeftCell="A58" workbookViewId="0">
      <selection activeCell="A73" sqref="A73"/>
    </sheetView>
  </sheetViews>
  <sheetFormatPr defaultColWidth="8.8984375" defaultRowHeight="15.6" x14ac:dyDescent="0.3"/>
  <cols>
    <col min="1" max="1" width="72" style="19" customWidth="1"/>
  </cols>
  <sheetData>
    <row r="8" spans="1:3" s="7" customFormat="1" ht="13.8" x14ac:dyDescent="0.3">
      <c r="A8" s="14" t="s">
        <v>609</v>
      </c>
    </row>
    <row r="9" spans="1:3" s="6" customFormat="1" ht="13.8" x14ac:dyDescent="0.3">
      <c r="A9" s="15"/>
    </row>
    <row r="10" spans="1:3" s="6" customFormat="1" ht="13.8" x14ac:dyDescent="0.3">
      <c r="A10" s="16" t="s">
        <v>571</v>
      </c>
    </row>
    <row r="11" spans="1:3" s="6" customFormat="1" ht="13.8" x14ac:dyDescent="0.3">
      <c r="A11" s="32" t="s">
        <v>581</v>
      </c>
      <c r="B11" s="12"/>
      <c r="C11" s="12"/>
    </row>
    <row r="12" spans="1:3" s="6" customFormat="1" ht="13.8" x14ac:dyDescent="0.3">
      <c r="A12" s="32" t="s">
        <v>602</v>
      </c>
      <c r="B12" s="12"/>
      <c r="C12" s="12"/>
    </row>
    <row r="13" spans="1:3" s="6" customFormat="1" ht="13.8" x14ac:dyDescent="0.3">
      <c r="A13" s="32" t="s">
        <v>603</v>
      </c>
      <c r="B13" s="12"/>
      <c r="C13" s="12"/>
    </row>
    <row r="14" spans="1:3" s="6" customFormat="1" ht="13.8" x14ac:dyDescent="0.3">
      <c r="A14" s="32" t="s">
        <v>604</v>
      </c>
      <c r="B14" s="12"/>
      <c r="C14" s="12"/>
    </row>
    <row r="15" spans="1:3" s="6" customFormat="1" ht="13.8" x14ac:dyDescent="0.3">
      <c r="A15" s="32" t="s">
        <v>605</v>
      </c>
      <c r="B15" s="12"/>
      <c r="C15" s="12"/>
    </row>
    <row r="16" spans="1:3" s="6" customFormat="1" ht="13.8" x14ac:dyDescent="0.3">
      <c r="A16" s="32" t="s">
        <v>606</v>
      </c>
      <c r="B16" s="12"/>
      <c r="C16" s="12"/>
    </row>
    <row r="17" spans="1:3" s="6" customFormat="1" ht="13.8" x14ac:dyDescent="0.3">
      <c r="A17" s="32" t="s">
        <v>607</v>
      </c>
      <c r="B17" s="12"/>
      <c r="C17" s="12"/>
    </row>
    <row r="18" spans="1:3" s="6" customFormat="1" ht="13.8" x14ac:dyDescent="0.3">
      <c r="A18" s="32" t="s">
        <v>608</v>
      </c>
      <c r="B18" s="12"/>
      <c r="C18" s="12"/>
    </row>
    <row r="19" spans="1:3" s="6" customFormat="1" ht="13.8" x14ac:dyDescent="0.3">
      <c r="A19" s="17"/>
      <c r="B19" s="12"/>
      <c r="C19" s="12"/>
    </row>
    <row r="20" spans="1:3" s="6" customFormat="1" ht="13.8" x14ac:dyDescent="0.3">
      <c r="A20" s="26" t="s">
        <v>614</v>
      </c>
      <c r="B20" s="12"/>
      <c r="C20" s="12"/>
    </row>
    <row r="21" spans="1:3" s="6" customFormat="1" ht="13.8" x14ac:dyDescent="0.3">
      <c r="A21" s="35" t="s">
        <v>615</v>
      </c>
    </row>
    <row r="22" spans="1:3" s="6" customFormat="1" x14ac:dyDescent="0.3">
      <c r="A22" s="25"/>
    </row>
    <row r="23" spans="1:3" s="6" customFormat="1" ht="13.8" x14ac:dyDescent="0.3">
      <c r="A23" s="16" t="s">
        <v>572</v>
      </c>
    </row>
    <row r="24" spans="1:3" s="6" customFormat="1" ht="27.6" x14ac:dyDescent="0.3">
      <c r="A24" s="32" t="s">
        <v>621</v>
      </c>
    </row>
    <row r="25" spans="1:3" s="6" customFormat="1" ht="13.8" x14ac:dyDescent="0.3">
      <c r="A25" s="15"/>
    </row>
    <row r="26" spans="1:3" s="6" customFormat="1" ht="13.8" x14ac:dyDescent="0.3">
      <c r="A26" s="15"/>
    </row>
    <row r="27" spans="1:3" s="7" customFormat="1" ht="13.8" x14ac:dyDescent="0.3">
      <c r="A27" s="14" t="s">
        <v>579</v>
      </c>
    </row>
    <row r="28" spans="1:3" s="6" customFormat="1" ht="13.8" x14ac:dyDescent="0.3">
      <c r="A28" s="34"/>
    </row>
    <row r="29" spans="1:3" s="6" customFormat="1" ht="27.6" x14ac:dyDescent="0.3">
      <c r="A29" s="32" t="str">
        <f>"This Records Retention and Disposal Schedule for Non-Government Schools consists of THREE related documents: "</f>
        <v xml:space="preserve">This Records Retention and Disposal Schedule for Non-Government Schools consists of THREE related documents: </v>
      </c>
    </row>
    <row r="30" spans="1:3" s="6" customFormat="1" ht="13.8" x14ac:dyDescent="0.3">
      <c r="A30" s="32"/>
    </row>
    <row r="31" spans="1:3" s="6" customFormat="1" ht="13.8" x14ac:dyDescent="0.3">
      <c r="A31" s="33" t="str">
        <f>"I An Introduction and Guidelines for Use (pdf)"</f>
        <v>I An Introduction and Guidelines for Use (pdf)</v>
      </c>
    </row>
    <row r="32" spans="1:3" s="6" customFormat="1" ht="13.8" x14ac:dyDescent="0.3">
      <c r="A32" s="33" t="str">
        <f>"II A Reference copy of the Schedule (pdf) (change protected and not editable)"</f>
        <v>II A Reference copy of the Schedule (pdf) (change protected and not editable)</v>
      </c>
    </row>
    <row r="33" spans="1:1" s="6" customFormat="1" ht="13.8" x14ac:dyDescent="0.3">
      <c r="A33" s="33" t="str">
        <f>"III An Excel copy of the schedule (.xlsm) (supporting limited editing)"</f>
        <v>III An Excel copy of the schedule (.xlsm) (supporting limited editing)</v>
      </c>
    </row>
    <row r="34" spans="1:1" s="6" customFormat="1" ht="13.8" x14ac:dyDescent="0.3">
      <c r="A34" s="32"/>
    </row>
    <row r="35" spans="1:1" s="6" customFormat="1" ht="13.8" x14ac:dyDescent="0.3">
      <c r="A35" s="32" t="str">
        <f>"1. Unpack the .zip download, file and create a back-up of the download folder"</f>
        <v>1. Unpack the .zip download, file and create a back-up of the download folder</v>
      </c>
    </row>
    <row r="36" spans="1:1" s="6" customFormat="1" ht="27.6" x14ac:dyDescent="0.3">
      <c r="A36" s="32" t="s">
        <v>623</v>
      </c>
    </row>
    <row r="37" spans="1:1" s="6" customFormat="1" ht="27.6" x14ac:dyDescent="0.3">
      <c r="A37" s="32" t="s">
        <v>616</v>
      </c>
    </row>
    <row r="38" spans="1:1" s="6" customFormat="1" ht="27.6" x14ac:dyDescent="0.3">
      <c r="A38" s="32" t="s">
        <v>622</v>
      </c>
    </row>
    <row r="39" spans="1:1" s="6" customFormat="1" ht="13.8" x14ac:dyDescent="0.3">
      <c r="A39" s="15"/>
    </row>
    <row r="40" spans="1:1" s="6" customFormat="1" ht="13.8" x14ac:dyDescent="0.3">
      <c r="A40" s="16" t="s">
        <v>578</v>
      </c>
    </row>
    <row r="41" spans="1:1" s="6" customFormat="1" ht="13.8" x14ac:dyDescent="0.3">
      <c r="A41" s="33" t="s">
        <v>580</v>
      </c>
    </row>
    <row r="42" spans="1:1" s="6" customFormat="1" ht="13.8" x14ac:dyDescent="0.3">
      <c r="A42" s="32" t="s">
        <v>582</v>
      </c>
    </row>
    <row r="43" spans="1:1" s="6" customFormat="1" ht="13.8" x14ac:dyDescent="0.3">
      <c r="A43" s="32"/>
    </row>
    <row r="44" spans="1:1" s="6" customFormat="1" ht="13.8" x14ac:dyDescent="0.3">
      <c r="A44" s="33" t="s">
        <v>583</v>
      </c>
    </row>
    <row r="45" spans="1:1" s="6" customFormat="1" ht="13.8" x14ac:dyDescent="0.3">
      <c r="A45" s="32" t="s">
        <v>624</v>
      </c>
    </row>
    <row r="46" spans="1:1" s="6" customFormat="1" ht="13.8" x14ac:dyDescent="0.3">
      <c r="A46" s="32"/>
    </row>
    <row r="47" spans="1:1" s="6" customFormat="1" ht="13.8" x14ac:dyDescent="0.3">
      <c r="A47" s="33" t="s">
        <v>584</v>
      </c>
    </row>
    <row r="48" spans="1:1" s="6" customFormat="1" ht="13.8" x14ac:dyDescent="0.3">
      <c r="A48" s="32" t="s">
        <v>585</v>
      </c>
    </row>
    <row r="49" spans="1:1" s="6" customFormat="1" ht="13.8" x14ac:dyDescent="0.3">
      <c r="A49" s="32"/>
    </row>
    <row r="50" spans="1:1" s="6" customFormat="1" ht="13.8" x14ac:dyDescent="0.3">
      <c r="A50" s="33" t="s">
        <v>586</v>
      </c>
    </row>
    <row r="51" spans="1:1" s="6" customFormat="1" ht="13.8" x14ac:dyDescent="0.3">
      <c r="A51" s="32" t="s">
        <v>587</v>
      </c>
    </row>
    <row r="52" spans="1:1" s="6" customFormat="1" ht="13.8" x14ac:dyDescent="0.3">
      <c r="A52" s="32" t="s">
        <v>588</v>
      </c>
    </row>
    <row r="53" spans="1:1" s="6" customFormat="1" ht="13.8" x14ac:dyDescent="0.3">
      <c r="A53" s="32" t="s">
        <v>589</v>
      </c>
    </row>
    <row r="54" spans="1:1" s="6" customFormat="1" ht="13.8" x14ac:dyDescent="0.3">
      <c r="A54" s="32" t="s">
        <v>590</v>
      </c>
    </row>
    <row r="55" spans="1:1" s="6" customFormat="1" ht="13.8" x14ac:dyDescent="0.3">
      <c r="A55" s="32" t="s">
        <v>591</v>
      </c>
    </row>
    <row r="56" spans="1:1" s="6" customFormat="1" ht="13.8" x14ac:dyDescent="0.3">
      <c r="A56" s="32" t="s">
        <v>592</v>
      </c>
    </row>
    <row r="57" spans="1:1" s="6" customFormat="1" ht="13.8" x14ac:dyDescent="0.3">
      <c r="A57" s="32" t="s">
        <v>593</v>
      </c>
    </row>
    <row r="58" spans="1:1" s="6" customFormat="1" ht="13.8" x14ac:dyDescent="0.3">
      <c r="A58" s="32" t="s">
        <v>594</v>
      </c>
    </row>
    <row r="59" spans="1:1" s="6" customFormat="1" ht="13.8" x14ac:dyDescent="0.3">
      <c r="A59" s="32" t="s">
        <v>595</v>
      </c>
    </row>
    <row r="60" spans="1:1" s="6" customFormat="1" ht="13.8" x14ac:dyDescent="0.3">
      <c r="A60" s="15"/>
    </row>
    <row r="61" spans="1:1" s="11" customFormat="1" ht="13.8" x14ac:dyDescent="0.3">
      <c r="A61" s="18" t="s">
        <v>596</v>
      </c>
    </row>
    <row r="62" spans="1:1" s="6" customFormat="1" ht="41.4" x14ac:dyDescent="0.3">
      <c r="A62" s="32" t="str">
        <f>"This Schedule is the property of ASA Inc. and cannot be shared or distributed except in accordance with the license conditions.  Individual licenses are single user licenses and may not be shared between users. "</f>
        <v xml:space="preserve">This Schedule is the property of ASA Inc. and cannot be shared or distributed except in accordance with the license conditions.  Individual licenses are single user licenses and may not be shared between users. </v>
      </c>
    </row>
    <row r="63" spans="1:1" s="6" customFormat="1" ht="27.6" x14ac:dyDescent="0.3">
      <c r="A63" s="32" t="str">
        <f>"If you have a requirement for a multi-user license, contact ASA Inc. and purchase a multi-user license."</f>
        <v>If you have a requirement for a multi-user license, contact ASA Inc. and purchase a multi-user license.</v>
      </c>
    </row>
    <row r="64" spans="1:1" s="6" customFormat="1" ht="13.8" x14ac:dyDescent="0.3">
      <c r="A64" s="15"/>
    </row>
    <row r="65" spans="1:4" s="11" customFormat="1" ht="13.8" x14ac:dyDescent="0.3">
      <c r="A65" s="18" t="s">
        <v>612</v>
      </c>
    </row>
    <row r="66" spans="1:4" s="6" customFormat="1" ht="41.4" x14ac:dyDescent="0.3">
      <c r="A66" s="32" t="s">
        <v>613</v>
      </c>
    </row>
    <row r="67" spans="1:4" s="6" customFormat="1" ht="41.4" x14ac:dyDescent="0.3">
      <c r="A67" s="32" t="s">
        <v>642</v>
      </c>
    </row>
    <row r="68" spans="1:4" s="6" customFormat="1" ht="13.8" x14ac:dyDescent="0.3">
      <c r="A68" s="15"/>
    </row>
    <row r="69" spans="1:4" s="11" customFormat="1" ht="13.8" x14ac:dyDescent="0.3">
      <c r="A69" s="18" t="s">
        <v>573</v>
      </c>
    </row>
    <row r="70" spans="1:4" s="6" customFormat="1" ht="13.8" x14ac:dyDescent="0.3">
      <c r="A70" s="15"/>
    </row>
    <row r="71" spans="1:4" s="6" customFormat="1" ht="13.8" x14ac:dyDescent="0.3">
      <c r="A71" s="26" t="s">
        <v>574</v>
      </c>
      <c r="B71" s="27" t="s">
        <v>575</v>
      </c>
      <c r="C71" s="27" t="s">
        <v>576</v>
      </c>
      <c r="D71" s="27" t="s">
        <v>577</v>
      </c>
    </row>
    <row r="72" spans="1:4" s="6" customFormat="1" ht="13.8" x14ac:dyDescent="0.3">
      <c r="A72" s="36">
        <v>43216</v>
      </c>
      <c r="B72" s="37" t="s">
        <v>617</v>
      </c>
      <c r="C72" s="37" t="s">
        <v>625</v>
      </c>
      <c r="D72" s="37" t="s">
        <v>618</v>
      </c>
    </row>
    <row r="73" spans="1:4" s="6" customFormat="1" ht="13.8" x14ac:dyDescent="0.3">
      <c r="A73" s="36">
        <v>43323</v>
      </c>
      <c r="B73" s="37" t="s">
        <v>643</v>
      </c>
      <c r="C73" s="37" t="s">
        <v>644</v>
      </c>
      <c r="D73" s="37" t="s">
        <v>645</v>
      </c>
    </row>
  </sheetData>
  <sheetProtection algorithmName="SHA-512" hashValue="HQ1o8PaR2YqsOnaWKTVkecBuINFTTW8oD5c0QyuQjikar6AMbZKVdULrFP/vK8B5GmsaJWrxFXFqmMtWVZAFtQ==" saltValue="GU2NeqItaAmqDXtf+hieYg==" spinCount="100000" sheet="1" objects="1" scenarios="1"/>
  <hyperlinks>
    <hyperlink ref="A21" r:id="rId1"/>
  </hyperlinks>
  <pageMargins left="0.7" right="0.7" top="0.75" bottom="0.75" header="0.3" footer="0.3"/>
  <pageSetup paperSize="9" orientation="portrait" horizontalDpi="4294967293"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00"/>
  <sheetViews>
    <sheetView workbookViewId="0">
      <selection activeCell="A2" sqref="A2"/>
    </sheetView>
  </sheetViews>
  <sheetFormatPr defaultColWidth="8.8984375" defaultRowHeight="15.6" x14ac:dyDescent="0.3"/>
  <cols>
    <col min="1" max="1" width="41" bestFit="1" customWidth="1"/>
    <col min="2" max="2" width="39" bestFit="1" customWidth="1"/>
    <col min="3" max="3" width="36.59765625" customWidth="1"/>
    <col min="4" max="4" width="30.3984375" customWidth="1"/>
  </cols>
  <sheetData>
    <row r="1" spans="1:4" s="9" customFormat="1" x14ac:dyDescent="0.3">
      <c r="A1" s="8" t="s">
        <v>97</v>
      </c>
      <c r="B1" s="8" t="s">
        <v>98</v>
      </c>
      <c r="C1" s="8" t="s">
        <v>611</v>
      </c>
      <c r="D1" s="8" t="s">
        <v>0</v>
      </c>
    </row>
    <row r="2" spans="1:4" x14ac:dyDescent="0.3">
      <c r="A2" s="3" t="s">
        <v>236</v>
      </c>
      <c r="B2" s="3" t="s">
        <v>444</v>
      </c>
      <c r="C2" s="5"/>
      <c r="D2" s="5"/>
    </row>
    <row r="3" spans="1:4" x14ac:dyDescent="0.3">
      <c r="A3" s="5"/>
      <c r="B3" s="3" t="s">
        <v>385</v>
      </c>
      <c r="C3" s="3" t="s">
        <v>463</v>
      </c>
      <c r="D3" s="5"/>
    </row>
    <row r="4" spans="1:4" x14ac:dyDescent="0.3">
      <c r="A4" s="5"/>
      <c r="B4" s="5"/>
      <c r="C4" s="3" t="s">
        <v>392</v>
      </c>
      <c r="D4" s="3" t="s">
        <v>539</v>
      </c>
    </row>
    <row r="5" spans="1:4" x14ac:dyDescent="0.3">
      <c r="A5" s="5"/>
      <c r="B5" s="5"/>
      <c r="C5" s="4" t="s">
        <v>392</v>
      </c>
      <c r="D5" s="3" t="s">
        <v>540</v>
      </c>
    </row>
    <row r="6" spans="1:4" x14ac:dyDescent="0.3">
      <c r="A6" s="5"/>
      <c r="B6" s="5"/>
      <c r="C6" s="3" t="s">
        <v>465</v>
      </c>
      <c r="D6" s="5"/>
    </row>
    <row r="7" spans="1:4" x14ac:dyDescent="0.3">
      <c r="A7" s="5"/>
      <c r="B7" s="5"/>
      <c r="C7" s="3" t="s">
        <v>464</v>
      </c>
      <c r="D7" s="5"/>
    </row>
    <row r="8" spans="1:4" x14ac:dyDescent="0.3">
      <c r="A8" s="5"/>
      <c r="B8" s="5"/>
      <c r="C8" s="3" t="s">
        <v>466</v>
      </c>
      <c r="D8" s="5"/>
    </row>
    <row r="9" spans="1:4" x14ac:dyDescent="0.3">
      <c r="A9" s="5"/>
      <c r="B9" s="5"/>
      <c r="C9" s="3" t="s">
        <v>468</v>
      </c>
      <c r="D9" s="5"/>
    </row>
    <row r="10" spans="1:4" x14ac:dyDescent="0.3">
      <c r="A10" s="5"/>
      <c r="B10" s="5"/>
      <c r="C10" s="3" t="s">
        <v>462</v>
      </c>
      <c r="D10" s="5"/>
    </row>
    <row r="11" spans="1:4" x14ac:dyDescent="0.3">
      <c r="A11" s="5"/>
      <c r="B11" s="5"/>
      <c r="C11" s="3" t="s">
        <v>467</v>
      </c>
      <c r="D11" s="5"/>
    </row>
    <row r="12" spans="1:4" x14ac:dyDescent="0.3">
      <c r="A12" s="5"/>
      <c r="B12" s="5"/>
      <c r="C12" s="3" t="s">
        <v>393</v>
      </c>
      <c r="D12" s="5"/>
    </row>
    <row r="13" spans="1:4" x14ac:dyDescent="0.3">
      <c r="A13" s="5"/>
      <c r="B13" s="5"/>
      <c r="C13" s="4" t="s">
        <v>393</v>
      </c>
      <c r="D13" s="3" t="s">
        <v>542</v>
      </c>
    </row>
    <row r="14" spans="1:4" x14ac:dyDescent="0.3">
      <c r="A14" s="5"/>
      <c r="B14" s="5"/>
      <c r="C14" s="4" t="s">
        <v>393</v>
      </c>
      <c r="D14" s="3" t="s">
        <v>541</v>
      </c>
    </row>
    <row r="15" spans="1:4" x14ac:dyDescent="0.3">
      <c r="A15" s="5"/>
      <c r="B15" s="5"/>
      <c r="C15" s="3" t="s">
        <v>469</v>
      </c>
      <c r="D15" s="5"/>
    </row>
    <row r="16" spans="1:4" x14ac:dyDescent="0.3">
      <c r="A16" s="5"/>
      <c r="B16" s="3" t="s">
        <v>388</v>
      </c>
      <c r="C16" s="3" t="s">
        <v>399</v>
      </c>
      <c r="D16" s="5"/>
    </row>
    <row r="17" spans="1:4" x14ac:dyDescent="0.3">
      <c r="A17" s="5"/>
      <c r="B17" s="5"/>
      <c r="C17" s="4" t="s">
        <v>399</v>
      </c>
      <c r="D17" s="3" t="s">
        <v>564</v>
      </c>
    </row>
    <row r="18" spans="1:4" x14ac:dyDescent="0.3">
      <c r="A18" s="5"/>
      <c r="B18" s="5"/>
      <c r="C18" s="3" t="s">
        <v>482</v>
      </c>
      <c r="D18" s="5"/>
    </row>
    <row r="19" spans="1:4" x14ac:dyDescent="0.3">
      <c r="A19" s="5"/>
      <c r="B19" s="5"/>
      <c r="C19" s="3" t="s">
        <v>480</v>
      </c>
      <c r="D19" s="5"/>
    </row>
    <row r="20" spans="1:4" x14ac:dyDescent="0.3">
      <c r="A20" s="5"/>
      <c r="B20" s="5"/>
      <c r="C20" s="3" t="s">
        <v>478</v>
      </c>
      <c r="D20" s="5"/>
    </row>
    <row r="21" spans="1:4" x14ac:dyDescent="0.3">
      <c r="A21" s="5"/>
      <c r="B21" s="5"/>
      <c r="C21" s="3" t="s">
        <v>400</v>
      </c>
      <c r="D21" s="3" t="s">
        <v>556</v>
      </c>
    </row>
    <row r="22" spans="1:4" x14ac:dyDescent="0.3">
      <c r="A22" s="5"/>
      <c r="B22" s="5"/>
      <c r="C22" s="4" t="s">
        <v>400</v>
      </c>
      <c r="D22" s="3" t="s">
        <v>494</v>
      </c>
    </row>
    <row r="23" spans="1:4" x14ac:dyDescent="0.3">
      <c r="A23" s="5"/>
      <c r="B23" s="5"/>
      <c r="C23" s="3" t="s">
        <v>481</v>
      </c>
      <c r="D23" s="5"/>
    </row>
    <row r="24" spans="1:4" x14ac:dyDescent="0.3">
      <c r="A24" s="5"/>
      <c r="B24" s="5"/>
      <c r="C24" s="3" t="s">
        <v>479</v>
      </c>
      <c r="D24" s="5"/>
    </row>
    <row r="25" spans="1:4" x14ac:dyDescent="0.3">
      <c r="A25" s="5"/>
      <c r="B25" s="5"/>
      <c r="C25" s="3" t="s">
        <v>483</v>
      </c>
      <c r="D25" s="5"/>
    </row>
    <row r="26" spans="1:4" x14ac:dyDescent="0.3">
      <c r="A26" s="5"/>
      <c r="B26" s="5"/>
      <c r="C26" s="4" t="s">
        <v>402</v>
      </c>
      <c r="D26" s="3" t="s">
        <v>558</v>
      </c>
    </row>
    <row r="27" spans="1:4" x14ac:dyDescent="0.3">
      <c r="A27" s="5"/>
      <c r="B27" s="5"/>
      <c r="C27" s="4" t="s">
        <v>402</v>
      </c>
      <c r="D27" s="3" t="s">
        <v>559</v>
      </c>
    </row>
    <row r="28" spans="1:4" x14ac:dyDescent="0.3">
      <c r="A28" s="5"/>
      <c r="B28" s="5"/>
      <c r="C28" s="4" t="s">
        <v>402</v>
      </c>
      <c r="D28" s="3" t="s">
        <v>560</v>
      </c>
    </row>
    <row r="29" spans="1:4" x14ac:dyDescent="0.3">
      <c r="A29" s="5"/>
      <c r="B29" s="5"/>
      <c r="C29" s="3" t="s">
        <v>401</v>
      </c>
      <c r="D29" s="5"/>
    </row>
    <row r="30" spans="1:4" x14ac:dyDescent="0.3">
      <c r="A30" s="5"/>
      <c r="B30" s="5"/>
      <c r="C30" s="4" t="s">
        <v>401</v>
      </c>
      <c r="D30" s="3" t="s">
        <v>557</v>
      </c>
    </row>
    <row r="31" spans="1:4" x14ac:dyDescent="0.3">
      <c r="A31" s="5"/>
      <c r="B31" s="5"/>
      <c r="C31" s="4" t="s">
        <v>401</v>
      </c>
      <c r="D31" s="3" t="s">
        <v>565</v>
      </c>
    </row>
    <row r="32" spans="1:4" x14ac:dyDescent="0.3">
      <c r="A32" s="5"/>
      <c r="B32" s="5"/>
      <c r="C32" s="4" t="s">
        <v>401</v>
      </c>
      <c r="D32" s="3" t="s">
        <v>566</v>
      </c>
    </row>
    <row r="33" spans="1:4" x14ac:dyDescent="0.3">
      <c r="A33" s="5"/>
      <c r="B33" s="3" t="s">
        <v>387</v>
      </c>
      <c r="C33" s="3" t="s">
        <v>396</v>
      </c>
      <c r="D33" s="5"/>
    </row>
    <row r="34" spans="1:4" x14ac:dyDescent="0.3">
      <c r="A34" s="5"/>
      <c r="B34" s="5"/>
      <c r="C34" s="4" t="s">
        <v>396</v>
      </c>
      <c r="D34" s="3" t="s">
        <v>546</v>
      </c>
    </row>
    <row r="35" spans="1:4" x14ac:dyDescent="0.3">
      <c r="A35" s="5"/>
      <c r="B35" s="5"/>
      <c r="C35" s="4" t="s">
        <v>396</v>
      </c>
      <c r="D35" s="3" t="s">
        <v>548</v>
      </c>
    </row>
    <row r="36" spans="1:4" x14ac:dyDescent="0.3">
      <c r="A36" s="5"/>
      <c r="B36" s="5"/>
      <c r="C36" s="4" t="s">
        <v>396</v>
      </c>
      <c r="D36" s="3" t="s">
        <v>549</v>
      </c>
    </row>
    <row r="37" spans="1:4" x14ac:dyDescent="0.3">
      <c r="A37" s="5"/>
      <c r="B37" s="5"/>
      <c r="C37" s="3" t="s">
        <v>476</v>
      </c>
      <c r="D37" s="5"/>
    </row>
    <row r="38" spans="1:4" x14ac:dyDescent="0.3">
      <c r="A38" s="5"/>
      <c r="B38" s="5"/>
      <c r="C38" s="3" t="s">
        <v>397</v>
      </c>
      <c r="D38" s="3" t="s">
        <v>550</v>
      </c>
    </row>
    <row r="39" spans="1:4" x14ac:dyDescent="0.3">
      <c r="A39" s="5"/>
      <c r="B39" s="5"/>
      <c r="C39" s="4" t="s">
        <v>397</v>
      </c>
      <c r="D39" s="3" t="s">
        <v>551</v>
      </c>
    </row>
    <row r="40" spans="1:4" x14ac:dyDescent="0.3">
      <c r="A40" s="5"/>
      <c r="B40" s="5"/>
      <c r="C40" s="3" t="s">
        <v>398</v>
      </c>
      <c r="D40" s="3" t="s">
        <v>552</v>
      </c>
    </row>
    <row r="41" spans="1:4" x14ac:dyDescent="0.3">
      <c r="A41" s="5"/>
      <c r="B41" s="5"/>
      <c r="C41" s="4" t="s">
        <v>398</v>
      </c>
      <c r="D41" s="3" t="s">
        <v>553</v>
      </c>
    </row>
    <row r="42" spans="1:4" x14ac:dyDescent="0.3">
      <c r="A42" s="5"/>
      <c r="B42" s="5"/>
      <c r="C42" s="4" t="s">
        <v>398</v>
      </c>
      <c r="D42" s="3" t="s">
        <v>554</v>
      </c>
    </row>
    <row r="43" spans="1:4" x14ac:dyDescent="0.3">
      <c r="A43" s="5"/>
      <c r="B43" s="5"/>
      <c r="C43" s="4" t="s">
        <v>398</v>
      </c>
      <c r="D43" s="3" t="s">
        <v>555</v>
      </c>
    </row>
    <row r="44" spans="1:4" x14ac:dyDescent="0.3">
      <c r="A44" s="5"/>
      <c r="B44" s="5"/>
      <c r="C44" s="3" t="s">
        <v>477</v>
      </c>
      <c r="D44" s="5"/>
    </row>
    <row r="45" spans="1:4" x14ac:dyDescent="0.3">
      <c r="A45" s="5"/>
      <c r="B45" s="3" t="s">
        <v>389</v>
      </c>
      <c r="C45" s="3" t="s">
        <v>465</v>
      </c>
      <c r="D45" s="5"/>
    </row>
    <row r="46" spans="1:4" x14ac:dyDescent="0.3">
      <c r="A46" s="5"/>
      <c r="B46" s="5"/>
      <c r="C46" s="3" t="s">
        <v>485</v>
      </c>
      <c r="D46" s="5"/>
    </row>
    <row r="47" spans="1:4" x14ac:dyDescent="0.3">
      <c r="A47" s="5"/>
      <c r="B47" s="5"/>
      <c r="C47" s="3" t="s">
        <v>484</v>
      </c>
      <c r="D47" s="5"/>
    </row>
    <row r="48" spans="1:4" x14ac:dyDescent="0.3">
      <c r="A48" s="5"/>
      <c r="B48" s="3" t="s">
        <v>386</v>
      </c>
      <c r="C48" s="3" t="s">
        <v>470</v>
      </c>
      <c r="D48" s="5"/>
    </row>
    <row r="49" spans="1:4" x14ac:dyDescent="0.3">
      <c r="A49" s="5"/>
      <c r="B49" s="5"/>
      <c r="C49" s="3" t="s">
        <v>471</v>
      </c>
      <c r="D49" s="5"/>
    </row>
    <row r="50" spans="1:4" x14ac:dyDescent="0.3">
      <c r="A50" s="5"/>
      <c r="B50" s="5"/>
      <c r="C50" s="3" t="s">
        <v>395</v>
      </c>
      <c r="D50" s="3" t="s">
        <v>546</v>
      </c>
    </row>
    <row r="51" spans="1:4" x14ac:dyDescent="0.3">
      <c r="A51" s="5"/>
      <c r="B51" s="5"/>
      <c r="C51" s="4" t="s">
        <v>395</v>
      </c>
      <c r="D51" s="3" t="s">
        <v>547</v>
      </c>
    </row>
    <row r="52" spans="1:4" x14ac:dyDescent="0.3">
      <c r="A52" s="5"/>
      <c r="B52" s="5"/>
      <c r="C52" s="4" t="s">
        <v>395</v>
      </c>
      <c r="D52" s="3" t="s">
        <v>473</v>
      </c>
    </row>
    <row r="53" spans="1:4" x14ac:dyDescent="0.3">
      <c r="A53" s="5"/>
      <c r="B53" s="5"/>
      <c r="C53" s="3" t="s">
        <v>475</v>
      </c>
      <c r="D53" s="5"/>
    </row>
    <row r="54" spans="1:4" x14ac:dyDescent="0.3">
      <c r="A54" s="5"/>
      <c r="B54" s="5"/>
      <c r="C54" s="3" t="s">
        <v>394</v>
      </c>
      <c r="D54" s="3" t="s">
        <v>457</v>
      </c>
    </row>
    <row r="55" spans="1:4" x14ac:dyDescent="0.3">
      <c r="A55" s="5"/>
      <c r="B55" s="5"/>
      <c r="C55" s="4" t="s">
        <v>394</v>
      </c>
      <c r="D55" s="3" t="s">
        <v>543</v>
      </c>
    </row>
    <row r="56" spans="1:4" x14ac:dyDescent="0.3">
      <c r="A56" s="5"/>
      <c r="B56" s="5"/>
      <c r="C56" s="4" t="s">
        <v>394</v>
      </c>
      <c r="D56" s="3" t="s">
        <v>544</v>
      </c>
    </row>
    <row r="57" spans="1:4" x14ac:dyDescent="0.3">
      <c r="A57" s="5"/>
      <c r="B57" s="5"/>
      <c r="C57" s="4" t="s">
        <v>394</v>
      </c>
      <c r="D57" s="3" t="s">
        <v>545</v>
      </c>
    </row>
    <row r="58" spans="1:4" x14ac:dyDescent="0.3">
      <c r="A58" s="5"/>
      <c r="B58" s="5"/>
      <c r="C58" s="3" t="s">
        <v>473</v>
      </c>
      <c r="D58" s="5"/>
    </row>
    <row r="59" spans="1:4" x14ac:dyDescent="0.3">
      <c r="A59" s="5"/>
      <c r="B59" s="5"/>
      <c r="C59" s="3" t="s">
        <v>472</v>
      </c>
      <c r="D59" s="5"/>
    </row>
    <row r="60" spans="1:4" x14ac:dyDescent="0.3">
      <c r="A60" s="5"/>
      <c r="B60" s="5"/>
      <c r="C60" s="3" t="s">
        <v>474</v>
      </c>
      <c r="D60" s="5"/>
    </row>
    <row r="61" spans="1:4" x14ac:dyDescent="0.3">
      <c r="A61" s="5"/>
      <c r="B61" s="3" t="s">
        <v>443</v>
      </c>
      <c r="C61" s="5"/>
      <c r="D61" s="5"/>
    </row>
    <row r="62" spans="1:4" s="1" customFormat="1" x14ac:dyDescent="0.3">
      <c r="A62" s="20" t="s">
        <v>118</v>
      </c>
      <c r="B62" s="20" t="s">
        <v>425</v>
      </c>
      <c r="C62" s="5"/>
      <c r="D62" s="5"/>
    </row>
    <row r="63" spans="1:4" s="1" customFormat="1" x14ac:dyDescent="0.3">
      <c r="A63" s="5"/>
      <c r="B63" s="5"/>
      <c r="C63" s="20" t="s">
        <v>531</v>
      </c>
      <c r="D63" s="5"/>
    </row>
    <row r="64" spans="1:4" s="1" customFormat="1" x14ac:dyDescent="0.3">
      <c r="A64" s="5"/>
      <c r="B64" s="5"/>
      <c r="C64" s="20" t="s">
        <v>567</v>
      </c>
      <c r="D64" s="5"/>
    </row>
    <row r="65" spans="1:4" s="1" customFormat="1" x14ac:dyDescent="0.3">
      <c r="A65" s="5"/>
      <c r="B65" s="20" t="s">
        <v>423</v>
      </c>
      <c r="C65" s="20" t="s">
        <v>568</v>
      </c>
      <c r="D65" s="5"/>
    </row>
    <row r="66" spans="1:4" s="1" customFormat="1" x14ac:dyDescent="0.3">
      <c r="A66" s="5"/>
      <c r="B66" s="5"/>
      <c r="C66" s="20" t="s">
        <v>569</v>
      </c>
      <c r="D66" s="5"/>
    </row>
    <row r="67" spans="1:4" s="1" customFormat="1" x14ac:dyDescent="0.3">
      <c r="A67" s="5"/>
      <c r="B67" s="20" t="s">
        <v>454</v>
      </c>
      <c r="C67" s="5"/>
      <c r="D67" s="5"/>
    </row>
    <row r="68" spans="1:4" s="1" customFormat="1" x14ac:dyDescent="0.3">
      <c r="A68" s="5"/>
      <c r="B68" s="20" t="s">
        <v>424</v>
      </c>
      <c r="C68" s="20" t="s">
        <v>532</v>
      </c>
      <c r="D68" s="5"/>
    </row>
    <row r="69" spans="1:4" s="1" customFormat="1" x14ac:dyDescent="0.3">
      <c r="A69" s="5"/>
      <c r="B69" s="5"/>
      <c r="C69" s="20" t="s">
        <v>570</v>
      </c>
      <c r="D69" s="5"/>
    </row>
    <row r="70" spans="1:4" s="1" customFormat="1" x14ac:dyDescent="0.3">
      <c r="A70" s="5"/>
      <c r="B70" s="20" t="s">
        <v>426</v>
      </c>
      <c r="C70" s="5"/>
      <c r="D70" s="5"/>
    </row>
    <row r="71" spans="1:4" s="1" customFormat="1" x14ac:dyDescent="0.3">
      <c r="A71" s="5"/>
      <c r="B71" s="5"/>
      <c r="C71" s="20" t="s">
        <v>533</v>
      </c>
      <c r="D71" s="5"/>
    </row>
    <row r="72" spans="1:4" s="1" customFormat="1" x14ac:dyDescent="0.3">
      <c r="A72" s="5"/>
      <c r="B72" s="5"/>
      <c r="C72" s="20" t="s">
        <v>531</v>
      </c>
      <c r="D72" s="5"/>
    </row>
    <row r="73" spans="1:4" s="1" customFormat="1" x14ac:dyDescent="0.3">
      <c r="A73" s="21" t="s">
        <v>431</v>
      </c>
      <c r="B73" s="5"/>
      <c r="C73" s="5"/>
      <c r="D73" s="5"/>
    </row>
    <row r="74" spans="1:4" x14ac:dyDescent="0.3">
      <c r="A74" s="22" t="s">
        <v>114</v>
      </c>
      <c r="B74" s="22" t="s">
        <v>384</v>
      </c>
      <c r="C74" s="5"/>
      <c r="D74" s="5"/>
    </row>
    <row r="75" spans="1:4" x14ac:dyDescent="0.3">
      <c r="A75" s="5"/>
      <c r="B75" s="5"/>
      <c r="C75" s="22" t="s">
        <v>457</v>
      </c>
      <c r="D75" s="5"/>
    </row>
    <row r="76" spans="1:4" x14ac:dyDescent="0.3">
      <c r="A76" s="5"/>
      <c r="B76" s="5"/>
      <c r="C76" s="22" t="s">
        <v>458</v>
      </c>
      <c r="D76" s="5"/>
    </row>
    <row r="77" spans="1:4" x14ac:dyDescent="0.3">
      <c r="A77" s="5"/>
      <c r="B77" s="5"/>
      <c r="C77" s="22" t="s">
        <v>459</v>
      </c>
      <c r="D77" s="5"/>
    </row>
    <row r="78" spans="1:4" x14ac:dyDescent="0.3">
      <c r="A78" s="5"/>
      <c r="B78" s="5"/>
      <c r="C78" s="22" t="s">
        <v>460</v>
      </c>
      <c r="D78" s="5"/>
    </row>
    <row r="79" spans="1:4" x14ac:dyDescent="0.3">
      <c r="A79" s="5"/>
      <c r="B79" s="22" t="s">
        <v>411</v>
      </c>
      <c r="C79" s="5"/>
      <c r="D79" s="5"/>
    </row>
    <row r="80" spans="1:4" x14ac:dyDescent="0.3">
      <c r="A80" s="5"/>
      <c r="B80" s="22" t="s">
        <v>433</v>
      </c>
      <c r="C80" s="5"/>
      <c r="D80" s="5"/>
    </row>
    <row r="81" spans="1:4" x14ac:dyDescent="0.3">
      <c r="A81" s="5"/>
      <c r="B81" s="22" t="s">
        <v>436</v>
      </c>
      <c r="C81" s="5"/>
      <c r="D81" s="5"/>
    </row>
    <row r="82" spans="1:4" x14ac:dyDescent="0.3">
      <c r="A82" s="5"/>
      <c r="B82" s="22" t="s">
        <v>442</v>
      </c>
      <c r="C82" s="5"/>
      <c r="D82" s="5"/>
    </row>
    <row r="83" spans="1:4" x14ac:dyDescent="0.3">
      <c r="A83" s="5"/>
      <c r="B83" s="22" t="s">
        <v>434</v>
      </c>
      <c r="C83" s="5"/>
      <c r="D83" s="5"/>
    </row>
    <row r="84" spans="1:4" x14ac:dyDescent="0.3">
      <c r="A84" s="5"/>
      <c r="B84" s="22" t="s">
        <v>438</v>
      </c>
      <c r="C84" s="5"/>
      <c r="D84" s="5"/>
    </row>
    <row r="85" spans="1:4" x14ac:dyDescent="0.3">
      <c r="A85" s="2"/>
      <c r="B85" s="22" t="s">
        <v>432</v>
      </c>
      <c r="C85" s="5"/>
      <c r="D85" s="5"/>
    </row>
    <row r="86" spans="1:4" x14ac:dyDescent="0.3">
      <c r="A86" s="5"/>
      <c r="B86" s="22" t="s">
        <v>260</v>
      </c>
      <c r="C86" s="5"/>
      <c r="D86" s="5"/>
    </row>
    <row r="87" spans="1:4" x14ac:dyDescent="0.3">
      <c r="A87" s="5"/>
      <c r="B87" s="5"/>
      <c r="C87" s="22" t="s">
        <v>390</v>
      </c>
      <c r="D87" s="5"/>
    </row>
    <row r="88" spans="1:4" x14ac:dyDescent="0.3">
      <c r="A88" s="5"/>
      <c r="B88" s="5"/>
      <c r="C88" s="10" t="s">
        <v>390</v>
      </c>
      <c r="D88" s="22" t="s">
        <v>535</v>
      </c>
    </row>
    <row r="89" spans="1:4" x14ac:dyDescent="0.3">
      <c r="A89" s="5"/>
      <c r="B89" s="5"/>
      <c r="C89" s="10" t="s">
        <v>390</v>
      </c>
      <c r="D89" s="22" t="s">
        <v>536</v>
      </c>
    </row>
    <row r="90" spans="1:4" x14ac:dyDescent="0.3">
      <c r="A90" s="5"/>
      <c r="B90" s="5"/>
      <c r="C90" s="22" t="s">
        <v>461</v>
      </c>
      <c r="D90" s="5"/>
    </row>
    <row r="91" spans="1:4" x14ac:dyDescent="0.3">
      <c r="A91" s="5"/>
      <c r="B91" s="5"/>
      <c r="C91" s="10" t="s">
        <v>391</v>
      </c>
      <c r="D91" s="22" t="s">
        <v>537</v>
      </c>
    </row>
    <row r="92" spans="1:4" x14ac:dyDescent="0.3">
      <c r="A92" s="5"/>
      <c r="B92" s="5"/>
      <c r="C92" s="10" t="s">
        <v>391</v>
      </c>
      <c r="D92" s="22" t="s">
        <v>538</v>
      </c>
    </row>
    <row r="93" spans="1:4" x14ac:dyDescent="0.3">
      <c r="A93" s="5"/>
      <c r="B93" s="22" t="s">
        <v>437</v>
      </c>
      <c r="C93" s="5"/>
      <c r="D93" s="5"/>
    </row>
    <row r="94" spans="1:4" x14ac:dyDescent="0.3">
      <c r="A94" s="5"/>
      <c r="B94" s="22" t="s">
        <v>440</v>
      </c>
      <c r="C94" s="5"/>
      <c r="D94" s="5"/>
    </row>
    <row r="95" spans="1:4" x14ac:dyDescent="0.3">
      <c r="A95" s="5"/>
      <c r="B95" s="22" t="s">
        <v>435</v>
      </c>
      <c r="C95" s="5"/>
      <c r="D95" s="5"/>
    </row>
    <row r="96" spans="1:4" x14ac:dyDescent="0.3">
      <c r="A96" s="5"/>
      <c r="B96" s="22" t="s">
        <v>441</v>
      </c>
      <c r="C96" s="5"/>
      <c r="D96" s="5"/>
    </row>
    <row r="97" spans="1:4" x14ac:dyDescent="0.3">
      <c r="A97" s="5"/>
      <c r="B97" s="22" t="s">
        <v>439</v>
      </c>
      <c r="C97" s="5"/>
      <c r="D97" s="5"/>
    </row>
    <row r="98" spans="1:4" x14ac:dyDescent="0.3">
      <c r="A98" s="3" t="s">
        <v>430</v>
      </c>
      <c r="B98" s="2"/>
      <c r="C98" s="2"/>
      <c r="D98" s="2"/>
    </row>
    <row r="99" spans="1:4" x14ac:dyDescent="0.3">
      <c r="A99" s="23" t="s">
        <v>139</v>
      </c>
      <c r="B99" s="23" t="s">
        <v>456</v>
      </c>
      <c r="C99" s="2"/>
      <c r="D99" s="2"/>
    </row>
    <row r="100" spans="1:4" x14ac:dyDescent="0.3">
      <c r="A100" s="5"/>
      <c r="B100" s="23" t="s">
        <v>114</v>
      </c>
      <c r="C100" s="2"/>
      <c r="D100" s="2"/>
    </row>
    <row r="101" spans="1:4" x14ac:dyDescent="0.3">
      <c r="A101" s="5"/>
      <c r="B101" s="23" t="s">
        <v>455</v>
      </c>
      <c r="C101" s="2"/>
      <c r="D101" s="2"/>
    </row>
    <row r="102" spans="1:4" x14ac:dyDescent="0.3">
      <c r="A102" s="24" t="s">
        <v>366</v>
      </c>
      <c r="B102" s="24" t="s">
        <v>428</v>
      </c>
      <c r="C102" s="5"/>
      <c r="D102" s="2"/>
    </row>
    <row r="103" spans="1:4" x14ac:dyDescent="0.3">
      <c r="A103" s="5"/>
      <c r="B103" s="13"/>
      <c r="C103" s="24" t="s">
        <v>505</v>
      </c>
      <c r="D103" s="2"/>
    </row>
    <row r="104" spans="1:4" x14ac:dyDescent="0.3">
      <c r="A104" s="5"/>
      <c r="B104" s="13"/>
      <c r="C104" s="24" t="s">
        <v>467</v>
      </c>
      <c r="D104" s="2"/>
    </row>
    <row r="105" spans="1:4" x14ac:dyDescent="0.3">
      <c r="A105" s="5"/>
      <c r="B105" s="13"/>
      <c r="C105" s="24" t="s">
        <v>534</v>
      </c>
      <c r="D105" s="2"/>
    </row>
    <row r="106" spans="1:4" x14ac:dyDescent="0.3">
      <c r="A106" s="5"/>
      <c r="B106" s="13"/>
      <c r="C106" s="24" t="s">
        <v>424</v>
      </c>
      <c r="D106" s="2"/>
    </row>
    <row r="107" spans="1:4" x14ac:dyDescent="0.3">
      <c r="A107" s="5"/>
      <c r="B107" s="24" t="s">
        <v>427</v>
      </c>
      <c r="C107" s="24" t="s">
        <v>531</v>
      </c>
      <c r="D107" s="2"/>
    </row>
    <row r="108" spans="1:4" x14ac:dyDescent="0.3">
      <c r="A108" s="5"/>
      <c r="B108" s="13"/>
      <c r="C108" s="24" t="s">
        <v>597</v>
      </c>
      <c r="D108" s="2"/>
    </row>
    <row r="109" spans="1:4" x14ac:dyDescent="0.3">
      <c r="A109" s="5"/>
      <c r="B109" s="13"/>
      <c r="C109" s="24" t="s">
        <v>598</v>
      </c>
      <c r="D109" s="2"/>
    </row>
    <row r="110" spans="1:4" x14ac:dyDescent="0.3">
      <c r="A110" s="5"/>
      <c r="B110" s="13"/>
      <c r="C110" s="24" t="s">
        <v>599</v>
      </c>
      <c r="D110" s="2"/>
    </row>
    <row r="111" spans="1:4" x14ac:dyDescent="0.3">
      <c r="A111" s="5"/>
      <c r="B111" s="13"/>
      <c r="C111" s="24" t="s">
        <v>600</v>
      </c>
      <c r="D111" s="2"/>
    </row>
    <row r="112" spans="1:4" x14ac:dyDescent="0.3">
      <c r="A112" s="5"/>
      <c r="B112" s="13"/>
      <c r="C112" s="24" t="s">
        <v>601</v>
      </c>
      <c r="D112" s="2"/>
    </row>
    <row r="113" spans="1:4" x14ac:dyDescent="0.3">
      <c r="A113" s="29" t="s">
        <v>116</v>
      </c>
      <c r="B113" s="29" t="s">
        <v>408</v>
      </c>
      <c r="C113" s="28"/>
      <c r="D113" s="5"/>
    </row>
    <row r="114" spans="1:4" x14ac:dyDescent="0.3">
      <c r="A114" s="5"/>
      <c r="B114" s="5"/>
      <c r="C114" s="29" t="s">
        <v>501</v>
      </c>
      <c r="D114" s="5"/>
    </row>
    <row r="115" spans="1:4" x14ac:dyDescent="0.3">
      <c r="A115" s="5"/>
      <c r="B115" s="5"/>
      <c r="C115" s="29" t="s">
        <v>500</v>
      </c>
      <c r="D115" s="5"/>
    </row>
    <row r="116" spans="1:4" x14ac:dyDescent="0.3">
      <c r="A116" s="5"/>
      <c r="B116" s="5"/>
      <c r="C116" s="29" t="s">
        <v>502</v>
      </c>
      <c r="D116" s="5"/>
    </row>
    <row r="117" spans="1:4" x14ac:dyDescent="0.3">
      <c r="A117" s="5"/>
      <c r="B117" s="5"/>
      <c r="C117" s="29" t="s">
        <v>499</v>
      </c>
      <c r="D117" s="5"/>
    </row>
    <row r="118" spans="1:4" x14ac:dyDescent="0.3">
      <c r="A118" s="5"/>
      <c r="B118" s="29" t="s">
        <v>448</v>
      </c>
      <c r="C118" s="5"/>
      <c r="D118" s="5"/>
    </row>
    <row r="119" spans="1:4" x14ac:dyDescent="0.3">
      <c r="A119" s="5"/>
      <c r="B119" s="29" t="s">
        <v>410</v>
      </c>
      <c r="C119" s="5"/>
      <c r="D119" s="5"/>
    </row>
    <row r="120" spans="1:4" x14ac:dyDescent="0.3">
      <c r="A120" s="5"/>
      <c r="B120" s="5"/>
      <c r="C120" s="29" t="s">
        <v>505</v>
      </c>
      <c r="D120" s="5"/>
    </row>
    <row r="121" spans="1:4" x14ac:dyDescent="0.3">
      <c r="A121" s="5"/>
      <c r="B121" s="5"/>
      <c r="C121" s="29" t="s">
        <v>507</v>
      </c>
      <c r="D121" s="5"/>
    </row>
    <row r="122" spans="1:4" x14ac:dyDescent="0.3">
      <c r="A122" s="5"/>
      <c r="B122" s="5"/>
      <c r="C122" s="29" t="s">
        <v>506</v>
      </c>
      <c r="D122" s="5"/>
    </row>
    <row r="123" spans="1:4" x14ac:dyDescent="0.3">
      <c r="A123" s="5"/>
      <c r="B123" s="29" t="s">
        <v>412</v>
      </c>
      <c r="C123" s="5"/>
      <c r="D123" s="5"/>
    </row>
    <row r="124" spans="1:4" x14ac:dyDescent="0.3">
      <c r="A124" s="5"/>
      <c r="B124" s="5"/>
      <c r="C124" s="29" t="s">
        <v>513</v>
      </c>
      <c r="D124" s="5"/>
    </row>
    <row r="125" spans="1:4" x14ac:dyDescent="0.3">
      <c r="A125" s="5"/>
      <c r="B125" s="5"/>
      <c r="C125" s="29" t="s">
        <v>512</v>
      </c>
      <c r="D125" s="5"/>
    </row>
    <row r="126" spans="1:4" x14ac:dyDescent="0.3">
      <c r="A126" s="5"/>
      <c r="B126" s="29" t="s">
        <v>411</v>
      </c>
      <c r="C126" s="5"/>
      <c r="D126" s="5"/>
    </row>
    <row r="127" spans="1:4" x14ac:dyDescent="0.3">
      <c r="A127" s="5"/>
      <c r="B127" s="5"/>
      <c r="C127" s="29" t="s">
        <v>510</v>
      </c>
      <c r="D127" s="5"/>
    </row>
    <row r="128" spans="1:4" x14ac:dyDescent="0.3">
      <c r="A128" s="5"/>
      <c r="B128" s="5"/>
      <c r="C128" s="29" t="s">
        <v>511</v>
      </c>
      <c r="D128" s="5"/>
    </row>
    <row r="129" spans="1:4" x14ac:dyDescent="0.3">
      <c r="A129" s="5"/>
      <c r="B129" s="29" t="s">
        <v>413</v>
      </c>
      <c r="C129" s="5"/>
      <c r="D129" s="5"/>
    </row>
    <row r="130" spans="1:4" x14ac:dyDescent="0.3">
      <c r="A130" s="5"/>
      <c r="B130" s="5"/>
      <c r="C130" s="29" t="s">
        <v>416</v>
      </c>
      <c r="D130" s="29" t="s">
        <v>531</v>
      </c>
    </row>
    <row r="131" spans="1:4" x14ac:dyDescent="0.3">
      <c r="A131" s="5"/>
      <c r="B131" s="5"/>
      <c r="C131" s="30" t="s">
        <v>416</v>
      </c>
      <c r="D131" s="29" t="s">
        <v>563</v>
      </c>
    </row>
    <row r="132" spans="1:4" x14ac:dyDescent="0.3">
      <c r="A132" s="5"/>
      <c r="B132" s="5"/>
      <c r="C132" s="30" t="s">
        <v>517</v>
      </c>
      <c r="D132" s="5"/>
    </row>
    <row r="133" spans="1:4" x14ac:dyDescent="0.3">
      <c r="A133" s="5"/>
      <c r="B133" s="5"/>
      <c r="C133" s="29" t="s">
        <v>516</v>
      </c>
      <c r="D133" s="5"/>
    </row>
    <row r="134" spans="1:4" x14ac:dyDescent="0.3">
      <c r="A134" s="5"/>
      <c r="B134" s="5"/>
      <c r="C134" s="30" t="s">
        <v>414</v>
      </c>
      <c r="D134" s="29" t="s">
        <v>531</v>
      </c>
    </row>
    <row r="135" spans="1:4" x14ac:dyDescent="0.3">
      <c r="A135" s="5"/>
      <c r="B135" s="5"/>
      <c r="C135" s="30" t="s">
        <v>414</v>
      </c>
      <c r="D135" s="29" t="s">
        <v>562</v>
      </c>
    </row>
    <row r="136" spans="1:4" x14ac:dyDescent="0.3">
      <c r="A136" s="5"/>
      <c r="B136" s="5"/>
      <c r="C136" s="29" t="s">
        <v>515</v>
      </c>
      <c r="D136" s="5"/>
    </row>
    <row r="137" spans="1:4" x14ac:dyDescent="0.3">
      <c r="A137" s="5"/>
      <c r="B137" s="5"/>
      <c r="C137" s="29" t="s">
        <v>514</v>
      </c>
      <c r="D137" s="5"/>
    </row>
    <row r="138" spans="1:4" x14ac:dyDescent="0.3">
      <c r="A138" s="5"/>
      <c r="B138" s="5"/>
      <c r="C138" s="29" t="s">
        <v>417</v>
      </c>
      <c r="D138" s="5"/>
    </row>
    <row r="139" spans="1:4" x14ac:dyDescent="0.3">
      <c r="A139" s="5"/>
      <c r="B139" s="5"/>
      <c r="C139" s="30" t="s">
        <v>417</v>
      </c>
      <c r="D139" s="29" t="s">
        <v>531</v>
      </c>
    </row>
    <row r="140" spans="1:4" x14ac:dyDescent="0.3">
      <c r="A140" s="5"/>
      <c r="B140" s="5"/>
      <c r="C140" s="30" t="s">
        <v>417</v>
      </c>
      <c r="D140" s="29" t="s">
        <v>562</v>
      </c>
    </row>
    <row r="141" spans="1:4" x14ac:dyDescent="0.3">
      <c r="A141" s="5"/>
      <c r="B141" s="5"/>
      <c r="C141" s="29" t="s">
        <v>415</v>
      </c>
      <c r="D141" s="5"/>
    </row>
    <row r="142" spans="1:4" x14ac:dyDescent="0.3">
      <c r="A142" s="5"/>
      <c r="B142" s="5"/>
      <c r="C142" s="30" t="s">
        <v>415</v>
      </c>
      <c r="D142" s="29" t="s">
        <v>531</v>
      </c>
    </row>
    <row r="143" spans="1:4" x14ac:dyDescent="0.3">
      <c r="A143" s="5"/>
      <c r="B143" s="5"/>
      <c r="C143" s="30" t="s">
        <v>415</v>
      </c>
      <c r="D143" s="29" t="s">
        <v>562</v>
      </c>
    </row>
    <row r="144" spans="1:4" x14ac:dyDescent="0.3">
      <c r="A144" s="5"/>
      <c r="B144" s="29" t="s">
        <v>409</v>
      </c>
      <c r="C144" s="5"/>
      <c r="D144" s="5"/>
    </row>
    <row r="145" spans="1:4" x14ac:dyDescent="0.3">
      <c r="A145" s="5"/>
      <c r="B145" s="5"/>
      <c r="C145" s="29" t="s">
        <v>432</v>
      </c>
      <c r="D145" s="5"/>
    </row>
    <row r="146" spans="1:4" x14ac:dyDescent="0.3">
      <c r="A146" s="5"/>
      <c r="B146" s="5"/>
      <c r="C146" s="29" t="s">
        <v>504</v>
      </c>
      <c r="D146" s="5"/>
    </row>
    <row r="147" spans="1:4" x14ac:dyDescent="0.3">
      <c r="A147" s="5"/>
      <c r="B147" s="5"/>
      <c r="C147" s="29" t="s">
        <v>503</v>
      </c>
      <c r="D147" s="5"/>
    </row>
    <row r="148" spans="1:4" x14ac:dyDescent="0.3">
      <c r="A148" s="5"/>
      <c r="B148" s="29" t="s">
        <v>405</v>
      </c>
      <c r="C148" s="5"/>
      <c r="D148" s="5"/>
    </row>
    <row r="149" spans="1:4" x14ac:dyDescent="0.3">
      <c r="A149" s="5"/>
      <c r="B149" s="5"/>
      <c r="C149" s="29" t="s">
        <v>508</v>
      </c>
      <c r="D149" s="5"/>
    </row>
    <row r="150" spans="1:4" x14ac:dyDescent="0.3">
      <c r="A150" s="5"/>
      <c r="B150" s="5"/>
      <c r="C150" s="30" t="s">
        <v>508</v>
      </c>
      <c r="D150" s="29" t="s">
        <v>457</v>
      </c>
    </row>
    <row r="151" spans="1:4" x14ac:dyDescent="0.3">
      <c r="A151" s="5"/>
      <c r="B151" s="5"/>
      <c r="C151" s="30" t="s">
        <v>508</v>
      </c>
      <c r="D151" s="29" t="s">
        <v>561</v>
      </c>
    </row>
    <row r="152" spans="1:4" x14ac:dyDescent="0.3">
      <c r="A152" s="5"/>
      <c r="B152" s="5"/>
      <c r="C152" s="29" t="s">
        <v>509</v>
      </c>
      <c r="D152" s="5"/>
    </row>
    <row r="153" spans="1:4" x14ac:dyDescent="0.3">
      <c r="A153" s="5"/>
      <c r="B153" s="29" t="s">
        <v>449</v>
      </c>
      <c r="C153" s="5"/>
      <c r="D153" s="5"/>
    </row>
    <row r="154" spans="1:4" x14ac:dyDescent="0.3">
      <c r="A154" s="5"/>
      <c r="B154" s="29" t="s">
        <v>407</v>
      </c>
      <c r="C154" s="5"/>
      <c r="D154" s="5"/>
    </row>
    <row r="155" spans="1:4" x14ac:dyDescent="0.3">
      <c r="A155" s="5"/>
      <c r="B155" s="5"/>
      <c r="C155" s="29" t="s">
        <v>495</v>
      </c>
      <c r="D155" s="5"/>
    </row>
    <row r="156" spans="1:4" x14ac:dyDescent="0.3">
      <c r="A156" s="5"/>
      <c r="B156" s="5"/>
      <c r="C156" s="29" t="s">
        <v>497</v>
      </c>
      <c r="D156" s="5"/>
    </row>
    <row r="157" spans="1:4" x14ac:dyDescent="0.3">
      <c r="A157" s="5"/>
      <c r="B157" s="5"/>
      <c r="C157" s="29" t="s">
        <v>496</v>
      </c>
      <c r="D157" s="5"/>
    </row>
    <row r="158" spans="1:4" x14ac:dyDescent="0.3">
      <c r="A158" s="5"/>
      <c r="B158" s="5"/>
      <c r="C158" s="29" t="s">
        <v>498</v>
      </c>
      <c r="D158" s="5"/>
    </row>
    <row r="159" spans="1:4" x14ac:dyDescent="0.3">
      <c r="A159" s="5"/>
      <c r="B159" s="29" t="s">
        <v>450</v>
      </c>
      <c r="C159" s="5"/>
      <c r="D159" s="5"/>
    </row>
    <row r="160" spans="1:4" x14ac:dyDescent="0.3">
      <c r="A160" s="20" t="s">
        <v>115</v>
      </c>
      <c r="B160" s="20" t="s">
        <v>406</v>
      </c>
      <c r="C160" s="5"/>
      <c r="D160" s="2"/>
    </row>
    <row r="161" spans="1:4" x14ac:dyDescent="0.3">
      <c r="A161" s="5"/>
      <c r="B161" s="5"/>
      <c r="C161" s="20" t="s">
        <v>493</v>
      </c>
      <c r="D161" s="2"/>
    </row>
    <row r="162" spans="1:4" x14ac:dyDescent="0.3">
      <c r="A162" s="5"/>
      <c r="B162" s="5"/>
      <c r="C162" s="20" t="s">
        <v>494</v>
      </c>
      <c r="D162" s="2"/>
    </row>
    <row r="163" spans="1:4" x14ac:dyDescent="0.3">
      <c r="A163" s="5"/>
      <c r="B163" s="20" t="s">
        <v>445</v>
      </c>
      <c r="C163" s="5"/>
      <c r="D163" s="2"/>
    </row>
    <row r="164" spans="1:4" x14ac:dyDescent="0.3">
      <c r="A164" s="5"/>
      <c r="B164" s="20" t="s">
        <v>403</v>
      </c>
      <c r="C164" s="20" t="s">
        <v>486</v>
      </c>
      <c r="D164" s="2"/>
    </row>
    <row r="165" spans="1:4" x14ac:dyDescent="0.3">
      <c r="A165" s="5"/>
      <c r="B165" s="5"/>
      <c r="C165" s="20" t="s">
        <v>487</v>
      </c>
      <c r="D165" s="2"/>
    </row>
    <row r="166" spans="1:4" x14ac:dyDescent="0.3">
      <c r="A166" s="5"/>
      <c r="B166" s="5"/>
      <c r="C166" s="5"/>
      <c r="D166" s="2"/>
    </row>
    <row r="167" spans="1:4" x14ac:dyDescent="0.3">
      <c r="A167" s="5"/>
      <c r="B167" s="20" t="s">
        <v>405</v>
      </c>
      <c r="C167" s="5"/>
      <c r="D167" s="2"/>
    </row>
    <row r="168" spans="1:4" x14ac:dyDescent="0.3">
      <c r="A168" s="5"/>
      <c r="B168" s="5"/>
      <c r="C168" s="20" t="s">
        <v>491</v>
      </c>
      <c r="D168" s="2"/>
    </row>
    <row r="169" spans="1:4" x14ac:dyDescent="0.3">
      <c r="A169" s="5"/>
      <c r="B169" s="5"/>
      <c r="C169" s="20" t="s">
        <v>492</v>
      </c>
      <c r="D169" s="2"/>
    </row>
    <row r="170" spans="1:4" x14ac:dyDescent="0.3">
      <c r="A170" s="5"/>
      <c r="B170" s="5"/>
      <c r="C170" s="20" t="s">
        <v>626</v>
      </c>
      <c r="D170" s="2"/>
    </row>
    <row r="171" spans="1:4" x14ac:dyDescent="0.3">
      <c r="A171" s="5"/>
      <c r="B171" s="20" t="s">
        <v>446</v>
      </c>
      <c r="C171" s="5"/>
      <c r="D171" s="2"/>
    </row>
    <row r="172" spans="1:4" x14ac:dyDescent="0.3">
      <c r="A172" s="5"/>
      <c r="B172" s="20" t="s">
        <v>404</v>
      </c>
      <c r="C172" s="20" t="s">
        <v>488</v>
      </c>
      <c r="D172" s="2"/>
    </row>
    <row r="173" spans="1:4" x14ac:dyDescent="0.3">
      <c r="A173" s="5"/>
      <c r="B173" s="5"/>
      <c r="C173" s="20" t="s">
        <v>489</v>
      </c>
      <c r="D173" s="2"/>
    </row>
    <row r="174" spans="1:4" x14ac:dyDescent="0.3">
      <c r="A174" s="5"/>
      <c r="B174" s="5"/>
      <c r="C174" s="20" t="s">
        <v>490</v>
      </c>
      <c r="D174" s="2"/>
    </row>
    <row r="175" spans="1:4" x14ac:dyDescent="0.3">
      <c r="A175" s="5"/>
      <c r="B175" s="5"/>
      <c r="C175" s="5"/>
      <c r="D175" s="2"/>
    </row>
    <row r="176" spans="1:4" x14ac:dyDescent="0.3">
      <c r="A176" s="5"/>
      <c r="B176" s="20" t="s">
        <v>447</v>
      </c>
      <c r="C176" s="5"/>
      <c r="D176" s="2"/>
    </row>
    <row r="177" spans="1:4" x14ac:dyDescent="0.3">
      <c r="A177" s="5"/>
      <c r="B177" s="5"/>
      <c r="C177" s="5"/>
      <c r="D177" s="2"/>
    </row>
    <row r="178" spans="1:4" x14ac:dyDescent="0.3">
      <c r="A178" s="31" t="s">
        <v>1</v>
      </c>
      <c r="B178" s="5"/>
      <c r="C178" s="5"/>
      <c r="D178" s="2"/>
    </row>
    <row r="179" spans="1:4" x14ac:dyDescent="0.3">
      <c r="A179" s="5"/>
      <c r="B179" s="31" t="s">
        <v>418</v>
      </c>
      <c r="C179" s="31" t="s">
        <v>518</v>
      </c>
      <c r="D179" s="2"/>
    </row>
    <row r="180" spans="1:4" x14ac:dyDescent="0.3">
      <c r="A180" s="5"/>
      <c r="B180" s="5"/>
      <c r="C180" s="31" t="s">
        <v>519</v>
      </c>
      <c r="D180" s="2"/>
    </row>
    <row r="181" spans="1:4" x14ac:dyDescent="0.3">
      <c r="A181" s="5"/>
      <c r="B181" s="5"/>
      <c r="C181" s="31" t="s">
        <v>520</v>
      </c>
      <c r="D181" s="2"/>
    </row>
    <row r="182" spans="1:4" x14ac:dyDescent="0.3">
      <c r="A182" s="5"/>
      <c r="B182" s="5"/>
      <c r="C182" s="31" t="s">
        <v>521</v>
      </c>
      <c r="D182" s="2"/>
    </row>
    <row r="183" spans="1:4" x14ac:dyDescent="0.3">
      <c r="A183" s="5"/>
      <c r="B183" s="5"/>
      <c r="C183" s="5"/>
      <c r="D183" s="2"/>
    </row>
    <row r="184" spans="1:4" x14ac:dyDescent="0.3">
      <c r="A184" s="5"/>
      <c r="B184" s="31" t="s">
        <v>451</v>
      </c>
      <c r="C184" s="5"/>
      <c r="D184" s="2"/>
    </row>
    <row r="185" spans="1:4" x14ac:dyDescent="0.3">
      <c r="A185" s="5"/>
      <c r="B185" s="31" t="s">
        <v>422</v>
      </c>
      <c r="C185" s="31" t="s">
        <v>527</v>
      </c>
      <c r="D185" s="2"/>
    </row>
    <row r="186" spans="1:4" x14ac:dyDescent="0.3">
      <c r="A186" s="5"/>
      <c r="B186" s="5"/>
      <c r="C186" s="31" t="s">
        <v>528</v>
      </c>
      <c r="D186" s="2"/>
    </row>
    <row r="187" spans="1:4" x14ac:dyDescent="0.3">
      <c r="A187" s="5"/>
      <c r="B187" s="5"/>
      <c r="C187" s="31" t="s">
        <v>529</v>
      </c>
      <c r="D187" s="2"/>
    </row>
    <row r="188" spans="1:4" x14ac:dyDescent="0.3">
      <c r="A188" s="5"/>
      <c r="B188" s="5"/>
      <c r="C188" s="31" t="s">
        <v>530</v>
      </c>
      <c r="D188" s="2"/>
    </row>
    <row r="189" spans="1:4" x14ac:dyDescent="0.3">
      <c r="A189" s="5"/>
      <c r="B189" s="5"/>
      <c r="C189" s="31" t="s">
        <v>531</v>
      </c>
      <c r="D189" s="2"/>
    </row>
    <row r="190" spans="1:4" x14ac:dyDescent="0.3">
      <c r="A190" s="5"/>
      <c r="B190" s="5"/>
      <c r="C190" s="5"/>
      <c r="D190" s="2"/>
    </row>
    <row r="191" spans="1:4" x14ac:dyDescent="0.3">
      <c r="A191" s="5"/>
      <c r="B191" s="31" t="s">
        <v>420</v>
      </c>
      <c r="C191" s="31" t="s">
        <v>524</v>
      </c>
      <c r="D191" s="2"/>
    </row>
    <row r="192" spans="1:4" x14ac:dyDescent="0.3">
      <c r="A192" s="5"/>
      <c r="B192" s="5"/>
      <c r="C192" s="31" t="s">
        <v>523</v>
      </c>
      <c r="D192" s="2"/>
    </row>
    <row r="193" spans="1:4" x14ac:dyDescent="0.3">
      <c r="A193" s="5"/>
      <c r="B193" s="5"/>
      <c r="C193" s="5"/>
      <c r="D193" s="2"/>
    </row>
    <row r="194" spans="1:4" x14ac:dyDescent="0.3">
      <c r="A194" s="5"/>
      <c r="B194" s="31" t="s">
        <v>421</v>
      </c>
      <c r="C194" s="5"/>
      <c r="D194" s="2"/>
    </row>
    <row r="195" spans="1:4" x14ac:dyDescent="0.3">
      <c r="A195" s="5"/>
      <c r="B195" s="5"/>
      <c r="C195" s="31" t="s">
        <v>525</v>
      </c>
      <c r="D195" s="2"/>
    </row>
    <row r="196" spans="1:4" x14ac:dyDescent="0.3">
      <c r="A196" s="5"/>
      <c r="B196" s="5"/>
      <c r="C196" s="31" t="s">
        <v>526</v>
      </c>
      <c r="D196" s="2"/>
    </row>
    <row r="197" spans="1:4" x14ac:dyDescent="0.3">
      <c r="A197" s="5"/>
      <c r="B197" s="31" t="s">
        <v>452</v>
      </c>
      <c r="C197" s="5"/>
      <c r="D197" s="2"/>
    </row>
    <row r="198" spans="1:4" x14ac:dyDescent="0.3">
      <c r="A198" s="5"/>
      <c r="B198" s="5"/>
      <c r="C198" s="31" t="s">
        <v>522</v>
      </c>
      <c r="D198" s="2"/>
    </row>
    <row r="199" spans="1:4" x14ac:dyDescent="0.3">
      <c r="A199" s="5"/>
      <c r="B199" s="5"/>
      <c r="C199" s="31" t="s">
        <v>523</v>
      </c>
      <c r="D199" s="2"/>
    </row>
    <row r="200" spans="1:4" x14ac:dyDescent="0.3">
      <c r="A200" s="5"/>
      <c r="B200" s="31" t="s">
        <v>453</v>
      </c>
      <c r="C200" s="5"/>
      <c r="D200" s="2"/>
    </row>
  </sheetData>
  <sortState ref="A113:D157">
    <sortCondition ref="B113:B157"/>
    <sortCondition ref="C113:C157"/>
  </sortState>
  <hyperlinks>
    <hyperlink ref="A2" location="ADMINISTRATION" display="ADMINISTRATION"/>
    <hyperlink ref="B2" location="ENQUIRIES" display="ENQUIRIES"/>
    <hyperlink ref="B3" location="FINANCE" display="FINANCE"/>
    <hyperlink ref="C3" location="ACCOUNTING" display="ACCOUNTING "/>
    <hyperlink ref="C4" location="ASSETS" display="ASSETS"/>
    <hyperlink ref="D4" location="REGISTER" display="REGISTER "/>
    <hyperlink ref="D5" location="VALUATIONS" display="VALUATIONS "/>
    <hyperlink ref="C6" location="AUDIT" display="AUDIT"/>
    <hyperlink ref="C7" location="BANKING" display="BANKING "/>
    <hyperlink ref="C8" location="BUDGETING" display="BUDGETING"/>
    <hyperlink ref="C9" location="FEES" display="FEES "/>
    <hyperlink ref="C10" location="FINANCIAL_RECORDS_ANNUAL" display="FINANCIAL RECORDS - ANNUAL "/>
    <hyperlink ref="C11" location="FUNDING" display="FUNDING"/>
    <hyperlink ref="C12" location="INSURANCE" display="INSURANCE"/>
    <hyperlink ref="D13" location="CLAIMS" display="CLAIMS"/>
    <hyperlink ref="D14" location="POLICIES" display="POLICIES"/>
    <hyperlink ref="C15" location="TAXATION" display="TAXATION"/>
    <hyperlink ref="B16" location="HUMAN_RESOURCES" display="HUMAN RESOURCES"/>
    <hyperlink ref="C16" location="AGREEMENTS" display="AGREEMENTS"/>
    <hyperlink ref="D17" location="ENTERPRISE_AGREEMENTS" display="ENTERPRISE AGREEMENTS"/>
    <hyperlink ref="C18" location="ALLOWANCES" display="ALLOWANCES"/>
    <hyperlink ref="C19" location="COUNSELLING" display="COUNSELLING "/>
    <hyperlink ref="C20" location="POSITIONS" display="POSITIONS"/>
    <hyperlink ref="C21" location="RECRUITMENT" display="RECRUITMENT"/>
    <hyperlink ref="D21" location="RECRUITEMENT_PROCESS" display="RECRUITMENT PROCESS "/>
    <hyperlink ref="D22" location="UNSUCCESSFUL_APPLICATIONS" display="UNSUCCESSFUL APPLICATIONS"/>
    <hyperlink ref="C23" location="SALARIES" display="SALARIES"/>
    <hyperlink ref="C24" location="SECURITY_CHECKS" display="SECURITY CHECKS"/>
    <hyperlink ref="C25" location="STAFFF_DEVELOPMENT" display="STAFF DEVELOPMENT"/>
    <hyperlink ref="D26" location="CONFERENCES" display="CONFERENCES AND SEMINARS"/>
    <hyperlink ref="D27" location="EVALUATION" display="EVALUATION and PLANNING "/>
    <hyperlink ref="D28" location="MASTER_RECORD" display="MASTER RECORD"/>
    <hyperlink ref="C29" location="STAFF_HISTORY" display="STAFF HISTORY"/>
    <hyperlink ref="D30" location="SUMMARY_DATA" display="SUMMARY DATA "/>
    <hyperlink ref="D31" location="EMPLYMENT_MAINTAINED" display="EMPLOYMENT HISTORY - SUMMARY MAINTAINED"/>
    <hyperlink ref="D32" location="EMPLYMENT_NOT_MAINTAINED" display="EMPLOYMENT HISTORY - SUMMARY NOT MAINTAINED "/>
    <hyperlink ref="B33" location="INFO_MANAGEMENT" display="INFORMATION MANAGEMENT"/>
    <hyperlink ref="C33" location="ICT" display="INFORMATION TECHNOLOGY AND SYSTEMS"/>
    <hyperlink ref="D34" location="ICT_ACQUISITION" display="ACQUISITION"/>
    <hyperlink ref="D35" location="ICT_IMPLEMENTATION" display="IMPLEMENTATION "/>
    <hyperlink ref="D36" location="ICT_MANAGEMENT" display="MANAGEMENT "/>
    <hyperlink ref="C37" location="INTELLECTUAL_PROPERTY" display="INTELLECTUAL PROPERTY"/>
    <hyperlink ref="C38" location="PRIVACY" display="PRIVACY"/>
    <hyperlink ref="D38" location="BREACHES" display="BREACHES "/>
    <hyperlink ref="D39" location="PRIVACY_COMPLAINTS" display="UNFOUNDED COMPLAINTS "/>
    <hyperlink ref="C40" location="RECORD_KEEPING" display="RECORDKEEPING AND ARCHIVES"/>
    <hyperlink ref="D40" location="RECORDKEEPING_CONTROLS" display="CONTROLS "/>
    <hyperlink ref="D41" location="REFERENCE_SERVICES" display="REFERENCE SERVICES "/>
    <hyperlink ref="D42" location="DONATIONS" display="DONATIONS AND LOANS "/>
    <hyperlink ref="D43" location="CONSERVATION" display="CONSERVATION"/>
    <hyperlink ref="C44" location="IM_STORAGE" display="STORAGE"/>
    <hyperlink ref="B45" location="OHS" display="OCCUPATIONAL HEALTH AND SAFETY (OH&amp;S)"/>
    <hyperlink ref="C45" location="OHS_AUDIT" display="AUDIT"/>
    <hyperlink ref="C46" location="OHS_COMPENSATION" display="COMPENSATION"/>
    <hyperlink ref="C47" location="OHS_INCIDENTS" display="INCIDENTS "/>
    <hyperlink ref="B48" location="PROPERTY" display="PROPERTY"/>
    <hyperlink ref="C48" location="PROPERTY_ACQ" display="ACQUISITION AND DISPOSAL "/>
    <hyperlink ref="C49" location="PROPERTY_CON" display="CONSTRUCTION AND RENOVATION "/>
    <hyperlink ref="C50" location="PROPERTY_EQ" display="EQUIPMENT AND STORES"/>
    <hyperlink ref="D50" location="PROPERTY_EQ_ACQ" display="ACQUISITION"/>
    <hyperlink ref="D51" location="PROPERTY_EQ_DISP" display="DISPOSAL"/>
    <hyperlink ref="D52" location="PROPERTY_EQ_MAINT" display="MAINTENANCE "/>
    <hyperlink ref="C53" location="FACILITY_HIRE" display="FACILITY HIRE "/>
    <hyperlink ref="C54" location="HAZ_MAT" display="HAZARDOUS MATERIALS"/>
    <hyperlink ref="D54" location="HAZ_MAT_REG" display="REGISTER"/>
    <hyperlink ref="D55" location="HAZ_MAT_BUILD" display="BUILDING MATERIALS"/>
    <hyperlink ref="D56" location="HAZ_MAT_NON_BUILD" display="NON-BUILDING MATERIALS"/>
    <hyperlink ref="D57" location="HAZ_MAT_NON_TOXIC" display="NON-TOXIC WASTE "/>
    <hyperlink ref="C58" location="PROPERTY_MAIN" display="MAINTENANCE "/>
    <hyperlink ref="C59" location="PROPERTY_REFURB" display="REFURBISHMENT "/>
    <hyperlink ref="C60" location="PROPERTY_SECURITY" display="SECURITY "/>
    <hyperlink ref="B61" location="ROSTERING" display="ROSTERING"/>
    <hyperlink ref="A62" location="COMMUNICATIONS" display="COMMUNICATIONS  &amp; COMMUNITY RELATIONS"/>
    <hyperlink ref="B62" location="CELEBRATIONS" display="CELEBRATIONS"/>
    <hyperlink ref="C63" location="ARRANGEMENTS" display="ARRANGEMENTS"/>
    <hyperlink ref="C64" location="EVENT" display="EVENT RECORDS"/>
    <hyperlink ref="B65" location="CIRCULARS" display="CIRCULARS AND INSTRUCTIONS"/>
    <hyperlink ref="C65" location="CIRC_EXT" display="EXTERNAL"/>
    <hyperlink ref="C66" location="CIRC_INT" display="INTERNAL"/>
    <hyperlink ref="B67" location="COMM_REL" display="COMMUNITY RELATIONS "/>
    <hyperlink ref="C68" location="PUB_PROD" display="PRODUCTION"/>
    <hyperlink ref="C69" location="PUB_PUB" display="PUBLICATION"/>
    <hyperlink ref="B68" location="PUBS" display="PUBLICATIONS"/>
    <hyperlink ref="B70" location="COM_VISITS" display="VISITS TO THE SCHOOL"/>
    <hyperlink ref="C71" location="COM_VIPS" display="VIPs"/>
    <hyperlink ref="C72" location="COM_VISITS_ARR" display="ARRANGEMENTS"/>
    <hyperlink ref="A73" location="EPHEMERA" display="EPHEMERA"/>
    <hyperlink ref="A74" location="GOVERNANCE" display="GOVERNANCE"/>
    <hyperlink ref="B85" location="GOV_ESTAB" display="ESTABLISHMENT"/>
    <hyperlink ref="B80" location="GOV_SCHOOL_CLOS" display="CLOSURE"/>
    <hyperlink ref="B83" location="GOV_COUNCIL_COMM" display="COUNCIL and COMMITTEES"/>
    <hyperlink ref="B95" location="GOV_REG" display="REGULATION"/>
    <hyperlink ref="B81" location="GOV_COMP" display="COMPLIANCE MONITORING"/>
    <hyperlink ref="B93" location="GOV_PLANNING" display="PLANNING"/>
    <hyperlink ref="B84" location="GOV_DELEG" display="DELEGATIONS &amp; AUTHORISATIONS"/>
    <hyperlink ref="B74" location="GOV_AGREE_CONT" display="AGREEMENTS/ CONTRACTS"/>
    <hyperlink ref="C75" location="GOV_AGREE_REG" display="REGISTER"/>
    <hyperlink ref="C76" location="GOV_CONT_MAJOR" display="SUCCESSFUL - MAJOR "/>
    <hyperlink ref="C77" location="GOV_CONT_MINOR" display="SUCCESSFUL MINOR "/>
    <hyperlink ref="C78" location="GOV_CONT_FAIL" display="UNSUCCESSFUL"/>
    <hyperlink ref="B97" location="GOV_SUB" display="SUBMISSIONS"/>
    <hyperlink ref="B94" location="GOV_POL" display="POLICIES AND PROCEDURES"/>
    <hyperlink ref="B96" location="GOV_REPORT" display="REPORTING"/>
    <hyperlink ref="B79" location="GOV_CHILD_PROT" display="CHILD PROTECTION"/>
    <hyperlink ref="B82" location="GOV_CORP_IDENT" display="CORPORATE IDENTITY"/>
    <hyperlink ref="B86" location="GOV_LEG_SERV" display="LEGAL SERVICES"/>
    <hyperlink ref="C87" location="GOV_LEG_ADV" display="ADVICE"/>
    <hyperlink ref="D88" location="GOV_LEG_AD_MAJ" display="MAJOR ISSUES "/>
    <hyperlink ref="D89" location="GOV_LEG_ADV_OTH" display="OTHER ISSUES"/>
    <hyperlink ref="C90" location="GOV_LEG_LIT" display="LITIGATION "/>
    <hyperlink ref="D91" location="GOV_LEG_LIT_MAJ" display="MAJOR MATTERS"/>
    <hyperlink ref="D92" location="GOV_LEG_LIT_OTH" display="OTHER MATTERS"/>
    <hyperlink ref="A98" location="OBJECTS" display="OBJECTS "/>
    <hyperlink ref="A99" location="SCH_REL_GROUPS" display="SCHOOL-RELATED GROUPS"/>
    <hyperlink ref="B99" location="SCH_REL_GROUP_ACT" display="ACTIVITIES"/>
    <hyperlink ref="B100" location="SCH_REL_GROUP_GOV" display="GOVERNANCE"/>
    <hyperlink ref="B101" location="SCH_REL_GROUP_mEM" display="MEMBERSHIP "/>
    <hyperlink ref="A102" location="SPIRIT_PROG" display="SPIRITUAL PROGRAMS"/>
    <hyperlink ref="B102" location="CHAP_PROG" display="CHAPLAINCY PROGRAMS"/>
    <hyperlink ref="C103" location="CHAP_PROG_EST" display="ESTABLISHMENT "/>
    <hyperlink ref="C104" location="CHAP_PROG_FUND" display="CHAP_PROG_FUND"/>
    <hyperlink ref="C105" location="CHAP_PROG_PAST" display="PASTORAL CARE"/>
    <hyperlink ref="C106" location="CHAP_PROG_PUBS" display="PUBLICATIONS"/>
    <hyperlink ref="B107" location="SPIRIT_REL_CER" display="RELIGIOUS CEREMONIES AND SERVICES"/>
    <hyperlink ref="C107" location="SPIRIT_REL_CER_ARR" display="ARRANGEMENTS"/>
    <hyperlink ref="C108" location="BAP_CON_MARR_FUN_MEM" display="BAPTISMS"/>
    <hyperlink ref="C109" location="BAP_CON_MARR_FUN_MEM" display="CONFIRMATIONS"/>
    <hyperlink ref="C110" location="BAP_CON_MARR_FUN_MEM" display="FUNERALS"/>
    <hyperlink ref="C111" location="BAP_CON_MARR_FUN_MEM" display="MARRIAGES"/>
    <hyperlink ref="C112" location="BAP_CON_MARR_FUN_MEM" display="MEMORIALS"/>
    <hyperlink ref="A113" location="STUD_MAN" display="STUDENT MANAGEMENT"/>
    <hyperlink ref="B113" location="STUD_MAN_ADM" display="ADMISSIONS"/>
    <hyperlink ref="C114" location="STUD_MAN_ADM_DEPART" display="INDIVIDUAL - DEPARTURES  "/>
    <hyperlink ref="C115" location="STUD_MAN_ADM_SUCC" display="INDIVIDUAL - SUCCESSFUL"/>
    <hyperlink ref="C116" location="STUD_MAN_ADM_NOTSUC" display="INDIVIDUAL - UNSUCCESSFUL "/>
    <hyperlink ref="C117" location="STUD_MAN_ADM_SUMM" display="SUMMARY "/>
    <hyperlink ref="B118" location="STUD_MAN_ATTEND" display="ATTENDANCE"/>
    <hyperlink ref="B119" location="STUD_MAN_AWARD" display="AWARDS"/>
    <hyperlink ref="C120" location="STUD_MAN_AWARD_EST" display="ESTABLISHMENT "/>
    <hyperlink ref="C121" location="STUD_MAN_AWARD_INDI" display="INDIVIDUAL AWARDS"/>
    <hyperlink ref="C122" location="STUD_MAN_AWARD_SUMM" display="SUMMARIES"/>
    <hyperlink ref="B123" location="STUD_MAN_BEHAV" display="BEHAVIOUR "/>
    <hyperlink ref="C124" location="STUD_MAN_BEHAV_ROUT_EV" display="ROUTINE EVENTS "/>
    <hyperlink ref="C125" location="STUD_MAN_BEHAV_SIG_EV" display="SIGNIFICANT EVENTS"/>
    <hyperlink ref="B126" location="STUD_MAN_CHILD_PROT" display="CHILD PROTECTION"/>
    <hyperlink ref="C127" location="STUD_MAN_CHILD_PROT_CASES" display="CASES "/>
    <hyperlink ref="C128" location="STUD_MAN_CHILD_PROT_HOST" display="HOST FAMILIES"/>
    <hyperlink ref="B129" location="STUD_MAN_COCURR" display="CO-CURRICULAR ACTIVITIES"/>
    <hyperlink ref="D134" location="STUD_MAN_COCURR_EXC_ARR" display="ARRANGEMENTS"/>
    <hyperlink ref="D135" location="STUD_MAN_COCURR_EXC_STUD_PART" display="STUDENT PARTICIPATION "/>
    <hyperlink ref="C136" location="STUD_MAN_COCURR_HOUSE" display="HOUSE "/>
    <hyperlink ref="C130" location="STUD_MAN_COCURR_ARTS" display="ARTS"/>
    <hyperlink ref="D130" location="STUD_MAN_COCURR_EXC_ARR" display="ARRANGEMENTS"/>
    <hyperlink ref="D131" location="STUD_MAN_COCURR_ARTS_STUD_PART" display="STUDENT PARTICIPATION"/>
    <hyperlink ref="C133" location="STUD_MAN_COCURR_EXC" display="EXCURSIONS "/>
    <hyperlink ref="C137" location="STUD_MAN_COCURR_EST" display="PROGRAM ESTABLISHMENT"/>
    <hyperlink ref="C138" location="STUD_MAN_COCURR_SER_LEARN" display="SERVICE LEARNING"/>
    <hyperlink ref="D139" location="STUD_MAN_COCURR_SER_LEARN_ARR" display="ARRANGEMENTS"/>
    <hyperlink ref="D140" location="STUD_MAN_COCURR_SER_LEARN_STUD_PART" display="STUDENT PARTICIPATION "/>
    <hyperlink ref="C141" location="STUD_MAN_COCURR_SPORT" display="SPORTS"/>
    <hyperlink ref="D143" location="STUD_MAN_COCURR_SPORT_STUD_PART" display="STUDENT PARTICIPATION "/>
    <hyperlink ref="D142" location="STUD_MAN_COCURR_SPORT_ARR" display="ARRANGEMENTS"/>
    <hyperlink ref="B144" location="STUD_MAN_FIN_ASS" display="FINANCIAL ASSISTANCE"/>
    <hyperlink ref="C145" location="STUD_MAN_FIN_ASS_EST" display="ESTABLISHMENT"/>
    <hyperlink ref="C146" location="STUD_MAN_FIN_ASS_IND_AWARD" display="INDIVIDUAL AWARDS "/>
    <hyperlink ref="C147" location="STUD_MAN_FIN_ASS_PROG" display="PROGRAM MANAGEMENT "/>
    <hyperlink ref="B148" location="STUD_MAN_HEALTH" display="HEALTH AND WELFARE"/>
    <hyperlink ref="C149" location="STUD_MAN_HEALTH_ACC" display="ACCIDENTS AND INCIDENTS"/>
    <hyperlink ref="D150" location="STUD_MAN_HEALTH_ACC_REG" display="REGISTER"/>
    <hyperlink ref="D151" location="STUD_MAN_HEALTH_ACC_INVEST" display="INVESTIGATION"/>
    <hyperlink ref="C152" location="STUD_MAN_HEALTH_STUD_HIST" display="STUDENT MEDICAL AND WELFARE HISTORY "/>
    <hyperlink ref="B153" location="STUD_MAN_HOME" display="HOME SCHOOLING"/>
    <hyperlink ref="B154" location="STUD_MAST_REC" display="STUDENT MASTER RECORD"/>
    <hyperlink ref="C155" location="STUD_MAST_REC_INDIG" display="INDIGENOUS STUDENTS"/>
    <hyperlink ref="C156" location="STUD_MAN_MAST_REC_OTH" display="OTHER STUDENTS"/>
    <hyperlink ref="C157" location="STUD_MAN_MAST_REC_OUT_HOME" display="STUDENTS IN OUT-OF-HOME-CARE "/>
    <hyperlink ref="C158" location="STUD_MAN_MAST_REC_SUP_REC" display="SUPPORTING RECORDS"/>
    <hyperlink ref="B159" location="STUD_MAN_WORK_EXP" display="WORK EXPERIENCE "/>
    <hyperlink ref="B160" location="STUD_SERV_ACCOM" display="ACCOMMODATION"/>
    <hyperlink ref="C161" location="STUD_SERV_ACCOM_APPS_SUC" display="SUCCESSFUL APPLICATIONS"/>
    <hyperlink ref="C162" location="STUD_SERV_ACCOM_APPS_UNSUC" display="UNSUCCESSFUL APPLICATIONS"/>
    <hyperlink ref="B163" location="STUD_SERV_CAREERS" display="CAREERS "/>
    <hyperlink ref="B164" location="STUD_SERV_FOOD" display="FOOD SERVICES"/>
    <hyperlink ref="C164" location="STUD_SERV_FOOD_COMP" display="COMPLIANCE "/>
    <hyperlink ref="C165" location="STUD_SERV_FOOD_OPER" display="OPERATIONS"/>
    <hyperlink ref="B167" location="STUD_SERV_HEALTH_WELF" display="HEALTH AND WELFARE"/>
    <hyperlink ref="C168" location="STUD_SERV_HEALTH_WELF_PROG_DEV" display="PROGRAM DEVELOPMENT AND MONITORING"/>
    <hyperlink ref="C169" location="STUD_SERV_HEALTH_WELF_PROG_OPER" display="PROGRAM OPERATION "/>
    <hyperlink ref="C170" location="STUD_SERV_HEALTH_WELF_SUMM_HEALTH_DAT" display="SUMMARY HEALTH DATA"/>
    <hyperlink ref="B171" location="STUD_SERV_LIB" display="LIBRARY"/>
    <hyperlink ref="B172" location="STUD_SERV_OUT_OF_HOURS" display="OUT OF HOURS CARE"/>
    <hyperlink ref="C172" location="STUD_SERV_OUT_OF_HOURS_ATT" display="ATTENDANCE "/>
    <hyperlink ref="C173" location="STUD_SERV_OUT_OF_HOURS_ACT" display="ACTIVITIES "/>
    <hyperlink ref="C174" location="STUD_SERV_OUT_OF_HOURS_EXT_SERV" display="EXTERNAL SERVICES "/>
    <hyperlink ref="B176" location="STUD_SERV_ANIM_CROP" display="SCHOOL ANIMAL &amp; CROP MANAGEMENT"/>
    <hyperlink ref="A178" location="TEACH_LEARN" display="TEACHING AND LEARNING"/>
    <hyperlink ref="B179" location="TEACH_LEARN_CURR" display="CURRICULUM"/>
    <hyperlink ref="C179" location="TEACH_LEARN_CURR_MAJ_PROG" display="MAJOR PROGRAMS"/>
    <hyperlink ref="C180" location="TEACH_LEARN_CURR_DEV_DEL" display="DEVELOPMENT AND DELIVERY "/>
    <hyperlink ref="C181" location="TEACH_LEARN_CURR_REVIEW" display="REVIEW "/>
    <hyperlink ref="C182" location="TEACH_LEARN_CURR_INT_BACC" display="INTERNATIONAL BACCALAUREATE (IB) "/>
    <hyperlink ref="B184" location="TEACH_LEARN_DIST_ED" display="DISTANCE EDUCATION"/>
    <hyperlink ref="B185" location="TEACH_LEARN_EXAM_ASS" display="EXAMINATIONS &amp; ASSESSMENTS"/>
    <hyperlink ref="C185" location="TEACH_LEARN_EXAM_ASS_SUMM_RESULTS_QUALS" display="SUMMARY RESULTS - QUALIFICATIONS "/>
    <hyperlink ref="C186" location="TEACH_LEARN_EXAM_ASS_OTHER" display="SUMMARY RESULTS - OTHER YEARS "/>
    <hyperlink ref="C187" location="TEACH_LEARN_EXAM_ASS_STUD_RES" display="INDIVIDUAL STUDENTS - RESULTS"/>
    <hyperlink ref="C188" location="TEACH_LEARN_EXAM_ASS_CERTS" display="CERTIFICATES "/>
    <hyperlink ref="C189" location="TEACH_LEARN_EXAM_ASS_ARR" display="ARRANGEMENTS"/>
    <hyperlink ref="B191" location="TEACH_LEARN_HIGH_POT" display="HIGH POTENTIAL PROGRAMS"/>
    <hyperlink ref="C191" location="TEACH_LEARN_HIGH_POT_PROG" display="PROGRAMS DESIGN &amp; MANAGEMENT"/>
    <hyperlink ref="C192" location="TEACH_LEARN_HIGH_POT_STUD" display="INDIVIDUAL STUDENTS"/>
    <hyperlink ref="B194" location="TEACH_LEARN_ANALYTICS" display="LEARNING ANALYTICS"/>
    <hyperlink ref="C195" location="TEACH_LEARN_ANALYTICS_AGG_DATA" display="AGGREGATED DATA AND ANALYSIS"/>
    <hyperlink ref="C196" location="TEACH_LEARN_ANALYTICS_INDIV_STU" display="INDIVIDUAL STUDENT"/>
    <hyperlink ref="B197" location="TEACH_LEARN_SPEC_ED" display="SPECIAL EDUCATION"/>
    <hyperlink ref="C198" location="TEACH_LEARN_SPEC_ED_PROG" display="PROGRAMS"/>
    <hyperlink ref="C199" location="TEACH_LEARN_SPEC_ED_IND_STUD" display="INDIVIDUAL STUDENTS"/>
    <hyperlink ref="B200" location="TEACH_LEARN_TIME" display="TIMETABLES "/>
    <hyperlink ref="A160" location="STUD_SERV" display="STUDENT SERVICES"/>
  </hyperlinks>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29"/>
  <sheetViews>
    <sheetView workbookViewId="0">
      <selection activeCell="E62" sqref="E62"/>
    </sheetView>
  </sheetViews>
  <sheetFormatPr defaultColWidth="8.8984375" defaultRowHeight="15.6" x14ac:dyDescent="0.3"/>
  <sheetData>
    <row r="1" spans="1:1" s="9" customFormat="1" x14ac:dyDescent="0.3">
      <c r="A1" s="38" t="s">
        <v>619</v>
      </c>
    </row>
    <row r="2" spans="1:1" s="183" customFormat="1" x14ac:dyDescent="0.3">
      <c r="A2" s="182" t="s">
        <v>628</v>
      </c>
    </row>
    <row r="3" spans="1:1" s="183" customFormat="1" x14ac:dyDescent="0.3">
      <c r="A3" s="2" t="s">
        <v>630</v>
      </c>
    </row>
    <row r="4" spans="1:1" s="183" customFormat="1" x14ac:dyDescent="0.3">
      <c r="A4" s="2" t="s">
        <v>631</v>
      </c>
    </row>
    <row r="5" spans="1:1" s="183" customFormat="1" x14ac:dyDescent="0.3">
      <c r="A5" s="2"/>
    </row>
    <row r="6" spans="1:1" s="183" customFormat="1" x14ac:dyDescent="0.3">
      <c r="A6" s="184" t="s">
        <v>629</v>
      </c>
    </row>
    <row r="7" spans="1:1" s="183" customFormat="1" x14ac:dyDescent="0.3">
      <c r="A7" s="2" t="s">
        <v>630</v>
      </c>
    </row>
    <row r="8" spans="1:1" s="183" customFormat="1" x14ac:dyDescent="0.3">
      <c r="A8" s="2" t="s">
        <v>637</v>
      </c>
    </row>
    <row r="9" spans="1:1" s="183" customFormat="1" x14ac:dyDescent="0.3">
      <c r="A9" s="2"/>
    </row>
    <row r="10" spans="1:1" s="183" customFormat="1" x14ac:dyDescent="0.3">
      <c r="A10" s="182" t="s">
        <v>636</v>
      </c>
    </row>
    <row r="11" spans="1:1" s="2" customFormat="1" ht="11.4" x14ac:dyDescent="0.2">
      <c r="A11" s="2" t="s">
        <v>638</v>
      </c>
    </row>
    <row r="12" spans="1:1" s="2" customFormat="1" ht="11.4" x14ac:dyDescent="0.2"/>
    <row r="13" spans="1:1" s="2" customFormat="1" ht="12" x14ac:dyDescent="0.25">
      <c r="A13" s="184" t="s">
        <v>632</v>
      </c>
    </row>
    <row r="14" spans="1:1" s="2" customFormat="1" ht="11.4" x14ac:dyDescent="0.2">
      <c r="A14" s="2" t="s">
        <v>633</v>
      </c>
    </row>
    <row r="15" spans="1:1" s="2" customFormat="1" ht="12" x14ac:dyDescent="0.25">
      <c r="A15" s="2" t="s">
        <v>634</v>
      </c>
    </row>
    <row r="16" spans="1:1" x14ac:dyDescent="0.3">
      <c r="A16" s="2" t="s">
        <v>635</v>
      </c>
    </row>
    <row r="29" spans="1:1" x14ac:dyDescent="0.3">
      <c r="A29" s="2" t="s">
        <v>620</v>
      </c>
    </row>
  </sheetData>
  <sheetProtection algorithmName="SHA-512" hashValue="iDLnIKLHBzCfGYub84tAl8LzGvoV0Pv83q7kxpNjfyWZoGSyHpKlGMN5b93LDNoxU+jk+DEeDMFbQpyuz4KgVw==" saltValue="5zg2mfzl8NLDV98FX+9cOQ==" spinCount="100000" sheet="1" objects="1" scenarios="1"/>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FindWordInRRDS">
                <anchor moveWithCells="1" sizeWithCells="1">
                  <from>
                    <xdr:col>5</xdr:col>
                    <xdr:colOff>487680</xdr:colOff>
                    <xdr:row>27</xdr:row>
                    <xdr:rowOff>106680</xdr:rowOff>
                  </from>
                  <to>
                    <xdr:col>7</xdr:col>
                    <xdr:colOff>502920</xdr:colOff>
                    <xdr:row>29</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87"/>
  <sheetViews>
    <sheetView workbookViewId="0">
      <selection activeCell="B4" sqref="B4"/>
    </sheetView>
  </sheetViews>
  <sheetFormatPr defaultColWidth="11" defaultRowHeight="15.6" x14ac:dyDescent="0.3"/>
  <cols>
    <col min="1" max="1" width="31.8984375" style="96" customWidth="1"/>
    <col min="2" max="2" width="34.8984375" style="96" customWidth="1"/>
    <col min="3" max="3" width="32.8984375" style="96" customWidth="1"/>
    <col min="4" max="4" width="29" style="96" customWidth="1"/>
    <col min="5" max="5" width="35" style="96" customWidth="1"/>
    <col min="6" max="6" width="36.59765625" style="47" customWidth="1"/>
    <col min="7" max="7" width="17.59765625" style="186" customWidth="1"/>
    <col min="8" max="8" width="18" style="186" customWidth="1"/>
    <col min="9" max="16384" width="11" style="39"/>
  </cols>
  <sheetData>
    <row r="1" spans="1:8" s="73" customFormat="1" ht="38.1" customHeight="1" x14ac:dyDescent="0.25">
      <c r="A1" s="76" t="s">
        <v>97</v>
      </c>
      <c r="B1" s="76" t="s">
        <v>98</v>
      </c>
      <c r="C1" s="76" t="s">
        <v>0</v>
      </c>
      <c r="D1" s="76" t="s">
        <v>0</v>
      </c>
      <c r="E1" s="76" t="s">
        <v>150</v>
      </c>
      <c r="F1" s="40" t="s">
        <v>324</v>
      </c>
      <c r="G1" s="41" t="s">
        <v>379</v>
      </c>
      <c r="H1" s="41" t="s">
        <v>429</v>
      </c>
    </row>
    <row r="2" spans="1:8" s="74" customFormat="1" ht="24" customHeight="1" x14ac:dyDescent="0.3">
      <c r="A2" s="77"/>
      <c r="B2" s="77"/>
      <c r="C2" s="77"/>
      <c r="D2" s="77"/>
      <c r="E2" s="78"/>
      <c r="F2" s="42"/>
      <c r="G2" s="185"/>
      <c r="H2" s="185"/>
    </row>
    <row r="3" spans="1:8" ht="171.9" customHeight="1" x14ac:dyDescent="0.3">
      <c r="A3" s="79" t="s">
        <v>99</v>
      </c>
      <c r="B3" s="80"/>
      <c r="C3" s="77"/>
      <c r="D3" s="77"/>
      <c r="E3" s="81"/>
      <c r="F3" s="43"/>
    </row>
    <row r="4" spans="1:8" ht="78" customHeight="1" x14ac:dyDescent="0.3">
      <c r="A4" s="82" t="s">
        <v>114</v>
      </c>
      <c r="B4" s="83" t="s">
        <v>2</v>
      </c>
      <c r="C4" s="84"/>
      <c r="D4" s="85"/>
      <c r="E4" s="83" t="s">
        <v>7</v>
      </c>
      <c r="F4" s="75" t="s">
        <v>29</v>
      </c>
      <c r="G4" s="187"/>
    </row>
    <row r="5" spans="1:8" ht="69" customHeight="1" x14ac:dyDescent="0.3">
      <c r="A5" s="82" t="s">
        <v>114</v>
      </c>
      <c r="B5" s="83" t="s">
        <v>100</v>
      </c>
      <c r="C5" s="84"/>
      <c r="D5" s="84"/>
      <c r="E5" s="86" t="s">
        <v>7</v>
      </c>
      <c r="F5" s="75" t="s">
        <v>30</v>
      </c>
    </row>
    <row r="6" spans="1:8" ht="131.1" customHeight="1" x14ac:dyDescent="0.3">
      <c r="A6" s="87" t="s">
        <v>114</v>
      </c>
      <c r="B6" s="83" t="s">
        <v>101</v>
      </c>
      <c r="C6" s="84"/>
      <c r="D6" s="84"/>
      <c r="E6" s="88" t="s">
        <v>7</v>
      </c>
      <c r="F6" s="45" t="s">
        <v>8</v>
      </c>
    </row>
    <row r="7" spans="1:8" ht="117.9" customHeight="1" x14ac:dyDescent="0.3">
      <c r="A7" s="87" t="s">
        <v>114</v>
      </c>
      <c r="B7" s="89" t="s">
        <v>325</v>
      </c>
      <c r="C7" s="84"/>
      <c r="D7" s="84"/>
      <c r="E7" s="88" t="s">
        <v>7</v>
      </c>
      <c r="F7" s="46" t="s">
        <v>9</v>
      </c>
    </row>
    <row r="8" spans="1:8" ht="107.1" customHeight="1" x14ac:dyDescent="0.3">
      <c r="A8" s="90" t="s">
        <v>114</v>
      </c>
      <c r="B8" s="83" t="s">
        <v>144</v>
      </c>
      <c r="C8" s="84"/>
      <c r="D8" s="84"/>
      <c r="E8" s="88" t="s">
        <v>7</v>
      </c>
      <c r="F8" s="46" t="s">
        <v>13</v>
      </c>
    </row>
    <row r="9" spans="1:8" ht="71.099999999999994" customHeight="1" x14ac:dyDescent="0.3">
      <c r="A9" s="87" t="s">
        <v>114</v>
      </c>
      <c r="B9" s="83" t="s">
        <v>119</v>
      </c>
      <c r="C9" s="84"/>
      <c r="D9" s="84"/>
      <c r="E9" s="88" t="s">
        <v>7</v>
      </c>
      <c r="F9" s="45" t="s">
        <v>14</v>
      </c>
      <c r="G9" s="188"/>
    </row>
    <row r="10" spans="1:8" ht="62.1" customHeight="1" x14ac:dyDescent="0.3">
      <c r="A10" s="87" t="s">
        <v>114</v>
      </c>
      <c r="B10" s="89" t="s">
        <v>326</v>
      </c>
      <c r="C10" s="84"/>
      <c r="D10" s="84"/>
      <c r="E10" s="83" t="s">
        <v>15</v>
      </c>
    </row>
    <row r="11" spans="1:8" ht="174.9" customHeight="1" x14ac:dyDescent="0.3">
      <c r="A11" s="91" t="s">
        <v>114</v>
      </c>
      <c r="B11" s="92" t="s">
        <v>327</v>
      </c>
      <c r="C11" s="84"/>
      <c r="D11" s="84"/>
      <c r="E11" s="81"/>
      <c r="F11" s="48"/>
    </row>
    <row r="12" spans="1:8" ht="174.9" customHeight="1" x14ac:dyDescent="0.3">
      <c r="A12" s="87" t="s">
        <v>114</v>
      </c>
      <c r="B12" s="84" t="s">
        <v>384</v>
      </c>
      <c r="C12" s="89" t="s">
        <v>154</v>
      </c>
      <c r="D12" s="93"/>
      <c r="E12" s="94" t="s">
        <v>7</v>
      </c>
      <c r="F12" s="44" t="s">
        <v>155</v>
      </c>
    </row>
    <row r="13" spans="1:8" ht="132" customHeight="1" x14ac:dyDescent="0.3">
      <c r="A13" s="87" t="s">
        <v>114</v>
      </c>
      <c r="B13" s="84" t="s">
        <v>384</v>
      </c>
      <c r="C13" s="89" t="s">
        <v>328</v>
      </c>
      <c r="D13" s="93"/>
      <c r="E13" s="95" t="s">
        <v>158</v>
      </c>
      <c r="F13" s="44" t="s">
        <v>156</v>
      </c>
    </row>
    <row r="14" spans="1:8" ht="68.099999999999994" customHeight="1" x14ac:dyDescent="0.3">
      <c r="A14" s="87" t="s">
        <v>114</v>
      </c>
      <c r="B14" s="96" t="s">
        <v>384</v>
      </c>
      <c r="C14" s="89" t="s">
        <v>329</v>
      </c>
      <c r="D14" s="93"/>
      <c r="E14" s="89" t="s">
        <v>27</v>
      </c>
      <c r="F14" s="44" t="s">
        <v>157</v>
      </c>
    </row>
    <row r="15" spans="1:8" ht="68.099999999999994" customHeight="1" x14ac:dyDescent="0.3">
      <c r="A15" s="87" t="s">
        <v>114</v>
      </c>
      <c r="B15" s="96" t="s">
        <v>384</v>
      </c>
      <c r="C15" s="89" t="s">
        <v>152</v>
      </c>
      <c r="D15" s="93"/>
      <c r="E15" s="89" t="s">
        <v>153</v>
      </c>
      <c r="F15" s="48"/>
    </row>
    <row r="16" spans="1:8" ht="111.9" customHeight="1" x14ac:dyDescent="0.3">
      <c r="A16" s="87" t="s">
        <v>114</v>
      </c>
      <c r="B16" s="89" t="s">
        <v>330</v>
      </c>
      <c r="C16" s="84"/>
      <c r="D16" s="84"/>
      <c r="E16" s="88" t="s">
        <v>7</v>
      </c>
      <c r="F16" s="44" t="s">
        <v>16</v>
      </c>
    </row>
    <row r="17" spans="1:8" ht="69" customHeight="1" x14ac:dyDescent="0.3">
      <c r="A17" s="87" t="s">
        <v>114</v>
      </c>
      <c r="B17" s="83" t="s">
        <v>3</v>
      </c>
      <c r="C17" s="97"/>
      <c r="D17" s="84"/>
      <c r="E17" s="88" t="s">
        <v>7</v>
      </c>
      <c r="F17" s="44" t="s">
        <v>17</v>
      </c>
    </row>
    <row r="18" spans="1:8" ht="87" customHeight="1" x14ac:dyDescent="0.3">
      <c r="A18" s="87" t="s">
        <v>114</v>
      </c>
      <c r="B18" s="83" t="s">
        <v>28</v>
      </c>
      <c r="C18" s="84"/>
      <c r="D18" s="84"/>
      <c r="E18" s="88" t="s">
        <v>7</v>
      </c>
      <c r="F18" s="45" t="s">
        <v>146</v>
      </c>
    </row>
    <row r="19" spans="1:8" ht="72" customHeight="1" x14ac:dyDescent="0.3">
      <c r="A19" s="87" t="s">
        <v>114</v>
      </c>
      <c r="B19" s="89" t="s">
        <v>331</v>
      </c>
      <c r="C19" s="84"/>
      <c r="D19" s="84"/>
      <c r="E19" s="88" t="s">
        <v>7</v>
      </c>
    </row>
    <row r="20" spans="1:8" ht="60.9" customHeight="1" x14ac:dyDescent="0.3">
      <c r="A20" s="87" t="s">
        <v>114</v>
      </c>
      <c r="B20" s="83" t="s">
        <v>4</v>
      </c>
      <c r="C20" s="84"/>
      <c r="D20" s="84"/>
      <c r="E20" s="88" t="s">
        <v>7</v>
      </c>
    </row>
    <row r="21" spans="1:8" s="49" customFormat="1" ht="39" customHeight="1" x14ac:dyDescent="0.2">
      <c r="A21" s="98" t="s">
        <v>114</v>
      </c>
      <c r="B21" s="99" t="s">
        <v>260</v>
      </c>
      <c r="C21" s="100"/>
      <c r="D21" s="100"/>
      <c r="E21" s="100"/>
      <c r="F21" s="47"/>
      <c r="G21" s="186"/>
      <c r="H21" s="186"/>
    </row>
    <row r="22" spans="1:8" s="49" customFormat="1" ht="39" customHeight="1" x14ac:dyDescent="0.2">
      <c r="A22" s="87" t="s">
        <v>114</v>
      </c>
      <c r="B22" s="101" t="s">
        <v>260</v>
      </c>
      <c r="C22" s="102" t="s">
        <v>287</v>
      </c>
      <c r="D22" s="103"/>
      <c r="E22" s="103"/>
      <c r="F22" s="47"/>
      <c r="G22" s="186"/>
      <c r="H22" s="186"/>
    </row>
    <row r="23" spans="1:8" s="49" customFormat="1" ht="39" customHeight="1" x14ac:dyDescent="0.2">
      <c r="A23" s="87" t="s">
        <v>114</v>
      </c>
      <c r="B23" s="100" t="s">
        <v>260</v>
      </c>
      <c r="C23" s="104" t="s">
        <v>390</v>
      </c>
      <c r="D23" s="89" t="s">
        <v>289</v>
      </c>
      <c r="E23" s="89" t="s">
        <v>7</v>
      </c>
      <c r="F23" s="47"/>
      <c r="G23" s="186"/>
      <c r="H23" s="186"/>
    </row>
    <row r="24" spans="1:8" s="49" customFormat="1" ht="80.099999999999994" customHeight="1" x14ac:dyDescent="0.2">
      <c r="A24" s="87" t="s">
        <v>114</v>
      </c>
      <c r="B24" s="100" t="s">
        <v>260</v>
      </c>
      <c r="C24" s="104" t="s">
        <v>390</v>
      </c>
      <c r="D24" s="89" t="s">
        <v>293</v>
      </c>
      <c r="E24" s="89" t="s">
        <v>290</v>
      </c>
      <c r="F24" s="47"/>
      <c r="G24" s="186"/>
      <c r="H24" s="186"/>
    </row>
    <row r="25" spans="1:8" s="49" customFormat="1" ht="39" customHeight="1" x14ac:dyDescent="0.2">
      <c r="A25" s="87" t="s">
        <v>114</v>
      </c>
      <c r="B25" s="101" t="s">
        <v>260</v>
      </c>
      <c r="C25" s="102" t="s">
        <v>288</v>
      </c>
      <c r="D25" s="103"/>
      <c r="E25" s="103"/>
      <c r="F25" s="47"/>
      <c r="G25" s="186"/>
      <c r="H25" s="186"/>
    </row>
    <row r="26" spans="1:8" s="49" customFormat="1" ht="56.1" customHeight="1" x14ac:dyDescent="0.2">
      <c r="A26" s="87" t="s">
        <v>114</v>
      </c>
      <c r="B26" s="105" t="s">
        <v>260</v>
      </c>
      <c r="C26" s="104" t="s">
        <v>391</v>
      </c>
      <c r="D26" s="106" t="s">
        <v>292</v>
      </c>
      <c r="E26" s="89" t="s">
        <v>7</v>
      </c>
      <c r="F26" s="47"/>
      <c r="G26" s="186"/>
      <c r="H26" s="186"/>
    </row>
    <row r="27" spans="1:8" s="49" customFormat="1" ht="39" customHeight="1" x14ac:dyDescent="0.2">
      <c r="A27" s="87" t="s">
        <v>114</v>
      </c>
      <c r="B27" s="107" t="s">
        <v>260</v>
      </c>
      <c r="C27" s="108" t="s">
        <v>391</v>
      </c>
      <c r="D27" s="89" t="s">
        <v>294</v>
      </c>
      <c r="E27" s="94" t="s">
        <v>291</v>
      </c>
      <c r="F27" s="47"/>
      <c r="G27" s="186"/>
      <c r="H27" s="186"/>
    </row>
    <row r="28" spans="1:8" s="51" customFormat="1" ht="36.9" customHeight="1" x14ac:dyDescent="0.3">
      <c r="A28" s="82"/>
      <c r="B28" s="84"/>
      <c r="C28" s="84"/>
      <c r="D28" s="84"/>
      <c r="E28" s="109"/>
      <c r="F28" s="50"/>
      <c r="G28" s="187"/>
      <c r="H28" s="187"/>
    </row>
    <row r="29" spans="1:8" s="51" customFormat="1" ht="102" customHeight="1" x14ac:dyDescent="0.3">
      <c r="A29" s="110" t="s">
        <v>128</v>
      </c>
      <c r="B29" s="84"/>
      <c r="C29" s="84"/>
      <c r="D29" s="84"/>
      <c r="E29" s="109"/>
      <c r="F29" s="52"/>
      <c r="G29" s="187"/>
      <c r="H29" s="187"/>
    </row>
    <row r="30" spans="1:8" s="51" customFormat="1" ht="60.9" customHeight="1" x14ac:dyDescent="0.3">
      <c r="A30" s="111" t="s">
        <v>236</v>
      </c>
      <c r="B30" s="112" t="s">
        <v>166</v>
      </c>
      <c r="C30" s="84"/>
      <c r="D30" s="84"/>
      <c r="E30" s="109"/>
      <c r="F30" s="52"/>
      <c r="G30" s="187"/>
      <c r="H30" s="187"/>
    </row>
    <row r="31" spans="1:8" s="51" customFormat="1" ht="60.9" customHeight="1" x14ac:dyDescent="0.3">
      <c r="A31" s="111" t="s">
        <v>236</v>
      </c>
      <c r="B31" s="84" t="s">
        <v>385</v>
      </c>
      <c r="C31" s="110" t="s">
        <v>383</v>
      </c>
      <c r="D31" s="84"/>
      <c r="E31" s="113" t="s">
        <v>7</v>
      </c>
      <c r="F31" s="53" t="s">
        <v>168</v>
      </c>
      <c r="G31" s="187"/>
      <c r="H31" s="187"/>
    </row>
    <row r="32" spans="1:8" s="51" customFormat="1" ht="156" customHeight="1" x14ac:dyDescent="0.3">
      <c r="A32" s="111" t="s">
        <v>236</v>
      </c>
      <c r="B32" s="84" t="s">
        <v>385</v>
      </c>
      <c r="C32" s="110" t="s">
        <v>264</v>
      </c>
      <c r="D32" s="84"/>
      <c r="E32" s="113" t="s">
        <v>167</v>
      </c>
      <c r="F32" s="53" t="s">
        <v>169</v>
      </c>
      <c r="G32" s="187"/>
      <c r="H32" s="187"/>
    </row>
    <row r="33" spans="1:8" s="51" customFormat="1" ht="72" customHeight="1" x14ac:dyDescent="0.3">
      <c r="A33" s="111" t="s">
        <v>236</v>
      </c>
      <c r="B33" s="84" t="s">
        <v>385</v>
      </c>
      <c r="C33" s="110" t="s">
        <v>265</v>
      </c>
      <c r="D33" s="84"/>
      <c r="E33" s="113" t="s">
        <v>170</v>
      </c>
      <c r="F33" s="52"/>
      <c r="G33" s="187"/>
      <c r="H33" s="187"/>
    </row>
    <row r="34" spans="1:8" s="51" customFormat="1" ht="60.9" customHeight="1" x14ac:dyDescent="0.3">
      <c r="A34" s="111" t="s">
        <v>236</v>
      </c>
      <c r="B34" s="84" t="s">
        <v>385</v>
      </c>
      <c r="C34" s="110" t="s">
        <v>316</v>
      </c>
      <c r="D34" s="84"/>
      <c r="E34" s="113" t="s">
        <v>171</v>
      </c>
      <c r="F34" s="53" t="s">
        <v>308</v>
      </c>
      <c r="G34" s="187"/>
      <c r="H34" s="187"/>
    </row>
    <row r="35" spans="1:8" s="51" customFormat="1" ht="77.099999999999994" customHeight="1" x14ac:dyDescent="0.3">
      <c r="A35" s="111" t="s">
        <v>236</v>
      </c>
      <c r="B35" s="84" t="s">
        <v>385</v>
      </c>
      <c r="C35" s="112" t="s">
        <v>266</v>
      </c>
      <c r="D35" s="84"/>
      <c r="E35" s="109"/>
      <c r="F35" s="52"/>
      <c r="G35" s="187"/>
      <c r="H35" s="187"/>
    </row>
    <row r="36" spans="1:8" s="51" customFormat="1" ht="60.9" customHeight="1" x14ac:dyDescent="0.3">
      <c r="A36" s="111" t="s">
        <v>236</v>
      </c>
      <c r="B36" s="84" t="s">
        <v>385</v>
      </c>
      <c r="C36" s="84" t="s">
        <v>392</v>
      </c>
      <c r="D36" s="110" t="s">
        <v>172</v>
      </c>
      <c r="E36" s="113" t="s">
        <v>7</v>
      </c>
      <c r="F36" s="53" t="s">
        <v>173</v>
      </c>
      <c r="G36" s="187"/>
      <c r="H36" s="187"/>
    </row>
    <row r="37" spans="1:8" s="51" customFormat="1" ht="60.9" customHeight="1" x14ac:dyDescent="0.3">
      <c r="A37" s="111" t="s">
        <v>236</v>
      </c>
      <c r="B37" s="84" t="s">
        <v>385</v>
      </c>
      <c r="C37" s="84" t="s">
        <v>392</v>
      </c>
      <c r="D37" s="110" t="s">
        <v>174</v>
      </c>
      <c r="E37" s="113" t="s">
        <v>175</v>
      </c>
      <c r="F37" s="53" t="s">
        <v>176</v>
      </c>
      <c r="G37" s="187"/>
      <c r="H37" s="187"/>
    </row>
    <row r="38" spans="1:8" s="51" customFormat="1" ht="60.9" customHeight="1" x14ac:dyDescent="0.3">
      <c r="A38" s="111" t="s">
        <v>236</v>
      </c>
      <c r="B38" s="84" t="s">
        <v>385</v>
      </c>
      <c r="C38" s="110" t="s">
        <v>177</v>
      </c>
      <c r="D38" s="84"/>
      <c r="E38" s="113" t="s">
        <v>167</v>
      </c>
      <c r="F38" s="53" t="s">
        <v>309</v>
      </c>
      <c r="G38" s="187"/>
      <c r="H38" s="187"/>
    </row>
    <row r="39" spans="1:8" s="51" customFormat="1" ht="72" customHeight="1" x14ac:dyDescent="0.3">
      <c r="A39" s="111" t="s">
        <v>236</v>
      </c>
      <c r="B39" s="84" t="s">
        <v>385</v>
      </c>
      <c r="C39" s="110" t="s">
        <v>267</v>
      </c>
      <c r="D39" s="84"/>
      <c r="E39" s="113" t="s">
        <v>178</v>
      </c>
      <c r="F39" s="53" t="s">
        <v>179</v>
      </c>
      <c r="G39" s="187"/>
      <c r="H39" s="187"/>
    </row>
    <row r="40" spans="1:8" s="51" customFormat="1" ht="60.9" customHeight="1" x14ac:dyDescent="0.3">
      <c r="A40" s="111" t="s">
        <v>236</v>
      </c>
      <c r="B40" s="84" t="s">
        <v>385</v>
      </c>
      <c r="C40" s="110" t="s">
        <v>180</v>
      </c>
      <c r="D40" s="84"/>
      <c r="E40" s="113" t="s">
        <v>181</v>
      </c>
      <c r="F40" s="53" t="s">
        <v>317</v>
      </c>
      <c r="G40" s="187"/>
      <c r="H40" s="187"/>
    </row>
    <row r="41" spans="1:8" s="51" customFormat="1" ht="96.9" customHeight="1" x14ac:dyDescent="0.3">
      <c r="A41" s="111" t="s">
        <v>236</v>
      </c>
      <c r="B41" s="84" t="s">
        <v>385</v>
      </c>
      <c r="C41" s="110" t="s">
        <v>268</v>
      </c>
      <c r="D41" s="84"/>
      <c r="E41" s="113" t="s">
        <v>182</v>
      </c>
      <c r="F41" s="53" t="s">
        <v>183</v>
      </c>
      <c r="G41" s="187"/>
      <c r="H41" s="187"/>
    </row>
    <row r="42" spans="1:8" s="51" customFormat="1" ht="95.1" customHeight="1" x14ac:dyDescent="0.3">
      <c r="A42" s="111" t="s">
        <v>236</v>
      </c>
      <c r="B42" s="84" t="s">
        <v>385</v>
      </c>
      <c r="C42" s="112" t="s">
        <v>184</v>
      </c>
      <c r="D42" s="84"/>
      <c r="E42" s="109"/>
      <c r="F42" s="52"/>
      <c r="G42" s="187"/>
      <c r="H42" s="187"/>
    </row>
    <row r="43" spans="1:8" s="51" customFormat="1" ht="60.9" customHeight="1" x14ac:dyDescent="0.3">
      <c r="A43" s="111" t="s">
        <v>236</v>
      </c>
      <c r="B43" s="84" t="s">
        <v>385</v>
      </c>
      <c r="C43" s="84" t="s">
        <v>393</v>
      </c>
      <c r="D43" s="110" t="s">
        <v>185</v>
      </c>
      <c r="E43" s="114" t="s">
        <v>332</v>
      </c>
      <c r="F43" s="52"/>
      <c r="G43" s="187"/>
      <c r="H43" s="187"/>
    </row>
    <row r="44" spans="1:8" s="51" customFormat="1" ht="78" customHeight="1" x14ac:dyDescent="0.3">
      <c r="A44" s="111" t="s">
        <v>236</v>
      </c>
      <c r="B44" s="84" t="s">
        <v>385</v>
      </c>
      <c r="C44" s="84" t="s">
        <v>393</v>
      </c>
      <c r="D44" s="110" t="s">
        <v>269</v>
      </c>
      <c r="E44" s="113" t="s">
        <v>186</v>
      </c>
      <c r="F44" s="52"/>
      <c r="G44" s="187"/>
      <c r="H44" s="187"/>
    </row>
    <row r="45" spans="1:8" s="51" customFormat="1" ht="108" customHeight="1" x14ac:dyDescent="0.3">
      <c r="A45" s="111" t="s">
        <v>236</v>
      </c>
      <c r="B45" s="112" t="s">
        <v>270</v>
      </c>
      <c r="C45" s="84"/>
      <c r="D45" s="84"/>
      <c r="E45" s="109"/>
      <c r="F45" s="52"/>
      <c r="G45" s="187"/>
      <c r="H45" s="187"/>
    </row>
    <row r="46" spans="1:8" s="51" customFormat="1" ht="90.9" customHeight="1" x14ac:dyDescent="0.3">
      <c r="A46" s="111" t="s">
        <v>236</v>
      </c>
      <c r="B46" s="84" t="s">
        <v>386</v>
      </c>
      <c r="C46" s="110" t="s">
        <v>271</v>
      </c>
      <c r="D46" s="84"/>
      <c r="E46" s="113" t="s">
        <v>7</v>
      </c>
      <c r="F46" s="53" t="s">
        <v>187</v>
      </c>
      <c r="G46" s="187"/>
      <c r="H46" s="187"/>
    </row>
    <row r="47" spans="1:8" s="51" customFormat="1" ht="156.9" customHeight="1" x14ac:dyDescent="0.3">
      <c r="A47" s="111" t="s">
        <v>236</v>
      </c>
      <c r="B47" s="84" t="s">
        <v>386</v>
      </c>
      <c r="C47" s="110" t="s">
        <v>272</v>
      </c>
      <c r="D47" s="84"/>
      <c r="E47" s="113" t="s">
        <v>7</v>
      </c>
      <c r="F47" s="53" t="s">
        <v>255</v>
      </c>
      <c r="G47" s="187"/>
      <c r="H47" s="187"/>
    </row>
    <row r="48" spans="1:8" s="51" customFormat="1" ht="60.9" customHeight="1" x14ac:dyDescent="0.3">
      <c r="A48" s="111" t="s">
        <v>236</v>
      </c>
      <c r="B48" s="84" t="s">
        <v>386</v>
      </c>
      <c r="C48" s="110" t="s">
        <v>188</v>
      </c>
      <c r="D48" s="84"/>
      <c r="E48" s="113" t="s">
        <v>376</v>
      </c>
      <c r="F48" s="52"/>
      <c r="G48" s="187"/>
      <c r="H48" s="187"/>
    </row>
    <row r="49" spans="1:8" s="51" customFormat="1" ht="60.9" customHeight="1" x14ac:dyDescent="0.3">
      <c r="A49" s="111" t="s">
        <v>236</v>
      </c>
      <c r="B49" s="84" t="s">
        <v>386</v>
      </c>
      <c r="C49" s="110" t="s">
        <v>190</v>
      </c>
      <c r="D49" s="84"/>
      <c r="E49" s="113" t="s">
        <v>175</v>
      </c>
      <c r="F49" s="53" t="s">
        <v>191</v>
      </c>
      <c r="G49" s="187"/>
      <c r="H49" s="187"/>
    </row>
    <row r="50" spans="1:8" s="51" customFormat="1" ht="60.9" customHeight="1" x14ac:dyDescent="0.3">
      <c r="A50" s="111" t="s">
        <v>236</v>
      </c>
      <c r="B50" s="84" t="s">
        <v>386</v>
      </c>
      <c r="C50" s="112" t="s">
        <v>192</v>
      </c>
      <c r="D50" s="84"/>
      <c r="E50" s="109"/>
      <c r="F50" s="52"/>
      <c r="G50" s="187"/>
      <c r="H50" s="187"/>
    </row>
    <row r="51" spans="1:8" s="51" customFormat="1" ht="60.9" customHeight="1" x14ac:dyDescent="0.3">
      <c r="A51" s="111" t="s">
        <v>236</v>
      </c>
      <c r="B51" s="84" t="s">
        <v>386</v>
      </c>
      <c r="C51" s="84" t="s">
        <v>394</v>
      </c>
      <c r="D51" s="110" t="s">
        <v>197</v>
      </c>
      <c r="E51" s="113" t="s">
        <v>198</v>
      </c>
      <c r="F51" s="52"/>
      <c r="G51" s="187"/>
      <c r="H51" s="187"/>
    </row>
    <row r="52" spans="1:8" s="51" customFormat="1" ht="60.9" customHeight="1" x14ac:dyDescent="0.3">
      <c r="A52" s="111" t="s">
        <v>236</v>
      </c>
      <c r="B52" s="84" t="s">
        <v>386</v>
      </c>
      <c r="C52" s="84" t="s">
        <v>394</v>
      </c>
      <c r="D52" s="110" t="s">
        <v>193</v>
      </c>
      <c r="E52" s="113" t="s">
        <v>194</v>
      </c>
      <c r="F52" s="52"/>
      <c r="G52" s="187"/>
      <c r="H52" s="187"/>
    </row>
    <row r="53" spans="1:8" s="51" customFormat="1" ht="60.9" customHeight="1" x14ac:dyDescent="0.3">
      <c r="A53" s="111" t="s">
        <v>236</v>
      </c>
      <c r="B53" s="84" t="s">
        <v>386</v>
      </c>
      <c r="C53" s="84" t="s">
        <v>394</v>
      </c>
      <c r="D53" s="110" t="s">
        <v>195</v>
      </c>
      <c r="E53" s="113" t="s">
        <v>196</v>
      </c>
      <c r="F53" s="52"/>
      <c r="G53" s="187"/>
      <c r="H53" s="187"/>
    </row>
    <row r="54" spans="1:8" s="51" customFormat="1" ht="60.9" customHeight="1" x14ac:dyDescent="0.3">
      <c r="A54" s="111" t="s">
        <v>236</v>
      </c>
      <c r="B54" s="84" t="s">
        <v>386</v>
      </c>
      <c r="C54" s="84" t="s">
        <v>394</v>
      </c>
      <c r="D54" s="110" t="s">
        <v>199</v>
      </c>
      <c r="E54" s="113" t="s">
        <v>200</v>
      </c>
      <c r="F54" s="52"/>
      <c r="G54" s="187"/>
      <c r="H54" s="187"/>
    </row>
    <row r="55" spans="1:8" s="51" customFormat="1" ht="140.1" customHeight="1" x14ac:dyDescent="0.3">
      <c r="A55" s="111" t="s">
        <v>236</v>
      </c>
      <c r="B55" s="84" t="s">
        <v>386</v>
      </c>
      <c r="C55" s="110" t="s">
        <v>273</v>
      </c>
      <c r="D55" s="84"/>
      <c r="E55" s="113" t="s">
        <v>211</v>
      </c>
      <c r="F55" s="53" t="s">
        <v>201</v>
      </c>
      <c r="G55" s="187"/>
      <c r="H55" s="187"/>
    </row>
    <row r="56" spans="1:8" s="51" customFormat="1" ht="131.1" customHeight="1" x14ac:dyDescent="0.3">
      <c r="A56" s="111" t="s">
        <v>236</v>
      </c>
      <c r="B56" s="84" t="s">
        <v>386</v>
      </c>
      <c r="C56" s="112" t="s">
        <v>261</v>
      </c>
      <c r="D56" s="84"/>
      <c r="E56" s="109"/>
      <c r="F56" s="52"/>
      <c r="G56" s="187"/>
      <c r="H56" s="187"/>
    </row>
    <row r="57" spans="1:8" s="51" customFormat="1" ht="117.9" customHeight="1" x14ac:dyDescent="0.3">
      <c r="A57" s="111" t="s">
        <v>236</v>
      </c>
      <c r="B57" s="84" t="s">
        <v>386</v>
      </c>
      <c r="C57" s="84" t="s">
        <v>395</v>
      </c>
      <c r="D57" s="110" t="s">
        <v>274</v>
      </c>
      <c r="E57" s="113" t="s">
        <v>175</v>
      </c>
      <c r="F57" s="53" t="s">
        <v>202</v>
      </c>
      <c r="G57" s="187"/>
      <c r="H57" s="187"/>
    </row>
    <row r="58" spans="1:8" s="51" customFormat="1" ht="60.9" customHeight="1" x14ac:dyDescent="0.3">
      <c r="A58" s="111" t="s">
        <v>236</v>
      </c>
      <c r="B58" s="84" t="s">
        <v>386</v>
      </c>
      <c r="C58" s="84" t="s">
        <v>395</v>
      </c>
      <c r="D58" s="110" t="s">
        <v>203</v>
      </c>
      <c r="E58" s="113" t="s">
        <v>175</v>
      </c>
      <c r="F58" s="52"/>
      <c r="G58" s="187"/>
      <c r="H58" s="187"/>
    </row>
    <row r="59" spans="1:8" s="51" customFormat="1" ht="60.9" customHeight="1" x14ac:dyDescent="0.3">
      <c r="A59" s="111" t="s">
        <v>236</v>
      </c>
      <c r="B59" s="84" t="s">
        <v>386</v>
      </c>
      <c r="C59" s="84" t="s">
        <v>395</v>
      </c>
      <c r="D59" s="110" t="s">
        <v>205</v>
      </c>
      <c r="E59" s="113" t="s">
        <v>175</v>
      </c>
      <c r="F59" s="53" t="s">
        <v>204</v>
      </c>
      <c r="G59" s="187"/>
      <c r="H59" s="187"/>
    </row>
    <row r="60" spans="1:8" s="51" customFormat="1" ht="60.9" customHeight="1" x14ac:dyDescent="0.3">
      <c r="A60" s="111" t="s">
        <v>236</v>
      </c>
      <c r="B60" s="84" t="s">
        <v>386</v>
      </c>
      <c r="C60" s="110" t="s">
        <v>221</v>
      </c>
      <c r="D60" s="110"/>
      <c r="E60" s="113" t="s">
        <v>212</v>
      </c>
      <c r="F60" s="52"/>
      <c r="G60" s="187"/>
      <c r="H60" s="187"/>
    </row>
    <row r="61" spans="1:8" s="51" customFormat="1" ht="80.099999999999994" customHeight="1" x14ac:dyDescent="0.3">
      <c r="A61" s="111" t="s">
        <v>236</v>
      </c>
      <c r="B61" s="112" t="s">
        <v>213</v>
      </c>
      <c r="C61" s="84"/>
      <c r="D61" s="84"/>
      <c r="E61" s="109"/>
      <c r="F61" s="52"/>
      <c r="G61" s="187"/>
      <c r="H61" s="187"/>
    </row>
    <row r="62" spans="1:8" s="51" customFormat="1" ht="60.9" customHeight="1" x14ac:dyDescent="0.3">
      <c r="A62" s="111" t="s">
        <v>236</v>
      </c>
      <c r="B62" s="84" t="s">
        <v>387</v>
      </c>
      <c r="C62" s="110" t="s">
        <v>214</v>
      </c>
      <c r="D62" s="110"/>
      <c r="E62" s="113" t="s">
        <v>7</v>
      </c>
      <c r="F62" s="52"/>
      <c r="G62" s="187"/>
      <c r="H62" s="187"/>
    </row>
    <row r="63" spans="1:8" s="51" customFormat="1" ht="138" customHeight="1" x14ac:dyDescent="0.3">
      <c r="A63" s="111" t="s">
        <v>236</v>
      </c>
      <c r="B63" s="84" t="s">
        <v>387</v>
      </c>
      <c r="C63" s="112" t="s">
        <v>275</v>
      </c>
      <c r="D63" s="84"/>
      <c r="E63" s="109"/>
      <c r="F63" s="52"/>
      <c r="G63" s="187"/>
      <c r="H63" s="187"/>
    </row>
    <row r="64" spans="1:8" s="51" customFormat="1" ht="86.1" customHeight="1" x14ac:dyDescent="0.3">
      <c r="A64" s="111" t="s">
        <v>236</v>
      </c>
      <c r="B64" s="84" t="s">
        <v>387</v>
      </c>
      <c r="C64" s="84" t="s">
        <v>396</v>
      </c>
      <c r="D64" s="110" t="s">
        <v>276</v>
      </c>
      <c r="E64" s="113" t="s">
        <v>215</v>
      </c>
      <c r="F64" s="52"/>
      <c r="G64" s="187"/>
      <c r="H64" s="187"/>
    </row>
    <row r="65" spans="1:8" s="51" customFormat="1" ht="60.9" customHeight="1" x14ac:dyDescent="0.3">
      <c r="A65" s="111" t="s">
        <v>236</v>
      </c>
      <c r="B65" s="84" t="s">
        <v>387</v>
      </c>
      <c r="C65" s="84" t="s">
        <v>396</v>
      </c>
      <c r="D65" s="110" t="s">
        <v>216</v>
      </c>
      <c r="E65" s="113" t="s">
        <v>217</v>
      </c>
      <c r="F65" s="53" t="s">
        <v>218</v>
      </c>
      <c r="G65" s="187"/>
      <c r="H65" s="187"/>
    </row>
    <row r="66" spans="1:8" s="51" customFormat="1" ht="102" customHeight="1" x14ac:dyDescent="0.3">
      <c r="A66" s="111" t="s">
        <v>236</v>
      </c>
      <c r="B66" s="84" t="s">
        <v>387</v>
      </c>
      <c r="C66" s="84" t="s">
        <v>396</v>
      </c>
      <c r="D66" s="110" t="s">
        <v>219</v>
      </c>
      <c r="E66" s="113" t="s">
        <v>220</v>
      </c>
      <c r="F66" s="52"/>
      <c r="G66" s="187"/>
      <c r="H66" s="187"/>
    </row>
    <row r="67" spans="1:8" s="51" customFormat="1" ht="123.9" customHeight="1" x14ac:dyDescent="0.3">
      <c r="A67" s="111" t="s">
        <v>236</v>
      </c>
      <c r="B67" s="84" t="s">
        <v>387</v>
      </c>
      <c r="C67" s="112" t="s">
        <v>277</v>
      </c>
      <c r="D67" s="84"/>
      <c r="E67" s="109"/>
      <c r="F67" s="52"/>
      <c r="G67" s="187"/>
      <c r="H67" s="187"/>
    </row>
    <row r="68" spans="1:8" s="51" customFormat="1" ht="60.9" customHeight="1" x14ac:dyDescent="0.3">
      <c r="A68" s="111" t="s">
        <v>236</v>
      </c>
      <c r="B68" s="84" t="s">
        <v>387</v>
      </c>
      <c r="C68" s="84" t="s">
        <v>397</v>
      </c>
      <c r="D68" s="110" t="s">
        <v>222</v>
      </c>
      <c r="E68" s="113" t="s">
        <v>223</v>
      </c>
      <c r="F68" s="53" t="s">
        <v>224</v>
      </c>
      <c r="G68" s="187"/>
      <c r="H68" s="187"/>
    </row>
    <row r="69" spans="1:8" s="51" customFormat="1" ht="60.9" customHeight="1" x14ac:dyDescent="0.3">
      <c r="A69" s="111" t="s">
        <v>236</v>
      </c>
      <c r="B69" s="84" t="s">
        <v>387</v>
      </c>
      <c r="C69" s="84" t="s">
        <v>397</v>
      </c>
      <c r="D69" s="110" t="s">
        <v>225</v>
      </c>
      <c r="E69" s="113" t="s">
        <v>226</v>
      </c>
      <c r="F69" s="53" t="s">
        <v>224</v>
      </c>
      <c r="G69" s="187"/>
      <c r="H69" s="187"/>
    </row>
    <row r="70" spans="1:8" s="51" customFormat="1" ht="60.9" customHeight="1" x14ac:dyDescent="0.3">
      <c r="A70" s="111" t="s">
        <v>236</v>
      </c>
      <c r="B70" s="84" t="s">
        <v>387</v>
      </c>
      <c r="C70" s="112" t="s">
        <v>227</v>
      </c>
      <c r="D70" s="84"/>
      <c r="E70" s="109"/>
      <c r="F70" s="52"/>
      <c r="G70" s="187"/>
      <c r="H70" s="187"/>
    </row>
    <row r="71" spans="1:8" ht="72" customHeight="1" x14ac:dyDescent="0.3">
      <c r="A71" s="90" t="s">
        <v>236</v>
      </c>
      <c r="B71" s="100" t="s">
        <v>387</v>
      </c>
      <c r="C71" s="100" t="s">
        <v>398</v>
      </c>
      <c r="D71" s="110" t="s">
        <v>228</v>
      </c>
      <c r="E71" s="110" t="s">
        <v>7</v>
      </c>
      <c r="F71" s="53" t="s">
        <v>229</v>
      </c>
    </row>
    <row r="72" spans="1:8" ht="90" customHeight="1" x14ac:dyDescent="0.3">
      <c r="A72" s="90" t="s">
        <v>236</v>
      </c>
      <c r="B72" s="100" t="s">
        <v>387</v>
      </c>
      <c r="C72" s="100" t="s">
        <v>398</v>
      </c>
      <c r="D72" s="110" t="s">
        <v>278</v>
      </c>
      <c r="E72" s="110" t="s">
        <v>7</v>
      </c>
      <c r="F72" s="53" t="s">
        <v>318</v>
      </c>
    </row>
    <row r="73" spans="1:8" ht="90" customHeight="1" x14ac:dyDescent="0.3">
      <c r="A73" s="90" t="s">
        <v>236</v>
      </c>
      <c r="B73" s="100" t="s">
        <v>387</v>
      </c>
      <c r="C73" s="100" t="s">
        <v>398</v>
      </c>
      <c r="D73" s="110" t="s">
        <v>230</v>
      </c>
      <c r="E73" s="110" t="s">
        <v>7</v>
      </c>
      <c r="F73" s="53" t="s">
        <v>233</v>
      </c>
    </row>
    <row r="74" spans="1:8" ht="90" customHeight="1" x14ac:dyDescent="0.3">
      <c r="A74" s="90" t="s">
        <v>236</v>
      </c>
      <c r="B74" s="100" t="s">
        <v>387</v>
      </c>
      <c r="C74" s="100" t="s">
        <v>398</v>
      </c>
      <c r="D74" s="110" t="s">
        <v>231</v>
      </c>
      <c r="E74" s="110" t="s">
        <v>232</v>
      </c>
      <c r="F74" s="48"/>
    </row>
    <row r="75" spans="1:8" ht="90" customHeight="1" x14ac:dyDescent="0.3">
      <c r="A75" s="90" t="s">
        <v>236</v>
      </c>
      <c r="B75" s="100" t="s">
        <v>387</v>
      </c>
      <c r="C75" s="110" t="s">
        <v>279</v>
      </c>
      <c r="D75" s="84"/>
      <c r="E75" s="110" t="s">
        <v>234</v>
      </c>
      <c r="F75" s="48"/>
    </row>
    <row r="76" spans="1:8" ht="90" customHeight="1" x14ac:dyDescent="0.3">
      <c r="A76" s="90" t="s">
        <v>236</v>
      </c>
      <c r="B76" s="112" t="s">
        <v>235</v>
      </c>
      <c r="C76" s="115"/>
      <c r="D76" s="100"/>
      <c r="E76" s="84"/>
      <c r="F76" s="48"/>
    </row>
    <row r="77" spans="1:8" ht="90" customHeight="1" x14ac:dyDescent="0.3">
      <c r="A77" s="90" t="s">
        <v>236</v>
      </c>
      <c r="B77" s="100" t="s">
        <v>388</v>
      </c>
      <c r="C77" s="116" t="s">
        <v>333</v>
      </c>
      <c r="D77" s="93"/>
      <c r="E77" s="93"/>
      <c r="F77" s="48"/>
    </row>
    <row r="78" spans="1:8" ht="90" customHeight="1" x14ac:dyDescent="0.3">
      <c r="A78" s="90" t="s">
        <v>236</v>
      </c>
      <c r="B78" s="100" t="s">
        <v>388</v>
      </c>
      <c r="C78" s="93" t="s">
        <v>399</v>
      </c>
      <c r="D78" s="114" t="s">
        <v>283</v>
      </c>
      <c r="E78" s="114" t="s">
        <v>7</v>
      </c>
      <c r="F78" s="48"/>
    </row>
    <row r="79" spans="1:8" ht="69.900000000000006" customHeight="1" x14ac:dyDescent="0.3">
      <c r="A79" s="90" t="s">
        <v>236</v>
      </c>
      <c r="B79" s="105" t="s">
        <v>388</v>
      </c>
      <c r="C79" s="93" t="s">
        <v>399</v>
      </c>
      <c r="D79" s="114" t="s">
        <v>284</v>
      </c>
      <c r="E79" s="114" t="s">
        <v>285</v>
      </c>
      <c r="F79" s="48"/>
    </row>
    <row r="80" spans="1:8" ht="60" customHeight="1" x14ac:dyDescent="0.3">
      <c r="A80" s="90" t="s">
        <v>236</v>
      </c>
      <c r="B80" s="100" t="s">
        <v>388</v>
      </c>
      <c r="C80" s="110" t="s">
        <v>237</v>
      </c>
      <c r="D80" s="110"/>
      <c r="E80" s="110" t="s">
        <v>238</v>
      </c>
      <c r="F80" s="53" t="s">
        <v>239</v>
      </c>
    </row>
    <row r="81" spans="1:6" ht="90" customHeight="1" x14ac:dyDescent="0.3">
      <c r="A81" s="90" t="s">
        <v>236</v>
      </c>
      <c r="B81" s="100" t="s">
        <v>388</v>
      </c>
      <c r="C81" s="112" t="s">
        <v>240</v>
      </c>
      <c r="D81" s="100"/>
      <c r="E81" s="84"/>
      <c r="F81" s="48"/>
    </row>
    <row r="82" spans="1:6" ht="90" customHeight="1" x14ac:dyDescent="0.3">
      <c r="A82" s="90" t="s">
        <v>236</v>
      </c>
      <c r="B82" s="100" t="s">
        <v>388</v>
      </c>
      <c r="C82" s="100" t="s">
        <v>400</v>
      </c>
      <c r="D82" s="110" t="s">
        <v>241</v>
      </c>
      <c r="E82" s="110" t="s">
        <v>242</v>
      </c>
      <c r="F82" s="53" t="s">
        <v>245</v>
      </c>
    </row>
    <row r="83" spans="1:6" ht="90" customHeight="1" x14ac:dyDescent="0.3">
      <c r="A83" s="90" t="s">
        <v>236</v>
      </c>
      <c r="B83" s="100" t="s">
        <v>388</v>
      </c>
      <c r="C83" s="100" t="s">
        <v>400</v>
      </c>
      <c r="D83" s="110" t="s">
        <v>280</v>
      </c>
      <c r="E83" s="110" t="s">
        <v>243</v>
      </c>
      <c r="F83" s="53" t="s">
        <v>244</v>
      </c>
    </row>
    <row r="84" spans="1:6" ht="90" customHeight="1" x14ac:dyDescent="0.3">
      <c r="A84" s="90" t="s">
        <v>236</v>
      </c>
      <c r="B84" s="100" t="s">
        <v>388</v>
      </c>
      <c r="C84" s="116" t="s">
        <v>334</v>
      </c>
      <c r="D84" s="100"/>
      <c r="E84" s="84"/>
      <c r="F84" s="48"/>
    </row>
    <row r="85" spans="1:6" ht="153" customHeight="1" x14ac:dyDescent="0.3">
      <c r="A85" s="90" t="s">
        <v>236</v>
      </c>
      <c r="B85" s="100" t="s">
        <v>388</v>
      </c>
      <c r="C85" s="100" t="s">
        <v>401</v>
      </c>
      <c r="D85" s="110" t="s">
        <v>335</v>
      </c>
      <c r="E85" s="110" t="s">
        <v>7</v>
      </c>
      <c r="F85" s="53" t="s">
        <v>256</v>
      </c>
    </row>
    <row r="86" spans="1:6" ht="90" customHeight="1" x14ac:dyDescent="0.3">
      <c r="A86" s="90" t="s">
        <v>236</v>
      </c>
      <c r="B86" s="115" t="s">
        <v>388</v>
      </c>
      <c r="C86" s="100" t="s">
        <v>401</v>
      </c>
      <c r="D86" s="110" t="s">
        <v>295</v>
      </c>
      <c r="E86" s="110" t="s">
        <v>162</v>
      </c>
      <c r="F86" s="53" t="s">
        <v>244</v>
      </c>
    </row>
    <row r="87" spans="1:6" ht="90" customHeight="1" x14ac:dyDescent="0.3">
      <c r="A87" s="90" t="s">
        <v>236</v>
      </c>
      <c r="B87" s="100" t="s">
        <v>388</v>
      </c>
      <c r="C87" s="100" t="s">
        <v>401</v>
      </c>
      <c r="D87" s="110" t="s">
        <v>296</v>
      </c>
      <c r="E87" s="110" t="s">
        <v>297</v>
      </c>
      <c r="F87" s="53" t="s">
        <v>244</v>
      </c>
    </row>
    <row r="88" spans="1:6" ht="134.1" customHeight="1" x14ac:dyDescent="0.3">
      <c r="A88" s="90" t="s">
        <v>236</v>
      </c>
      <c r="B88" s="100" t="s">
        <v>388</v>
      </c>
      <c r="C88" s="110" t="s">
        <v>322</v>
      </c>
      <c r="D88" s="117"/>
      <c r="E88" s="114" t="s">
        <v>365</v>
      </c>
      <c r="F88" s="53" t="s">
        <v>310</v>
      </c>
    </row>
    <row r="89" spans="1:6" ht="75" customHeight="1" x14ac:dyDescent="0.3">
      <c r="A89" s="90" t="s">
        <v>236</v>
      </c>
      <c r="B89" s="100" t="s">
        <v>388</v>
      </c>
      <c r="C89" s="110" t="s">
        <v>246</v>
      </c>
      <c r="D89" s="84"/>
      <c r="E89" s="110" t="s">
        <v>175</v>
      </c>
      <c r="F89" s="48"/>
    </row>
    <row r="90" spans="1:6" ht="125.1" customHeight="1" x14ac:dyDescent="0.3">
      <c r="A90" s="90" t="s">
        <v>236</v>
      </c>
      <c r="B90" s="100" t="s">
        <v>388</v>
      </c>
      <c r="C90" s="110" t="s">
        <v>281</v>
      </c>
      <c r="D90" s="84"/>
      <c r="E90" s="110" t="s">
        <v>162</v>
      </c>
      <c r="F90" s="48"/>
    </row>
    <row r="91" spans="1:6" ht="90" customHeight="1" x14ac:dyDescent="0.3">
      <c r="A91" s="90" t="s">
        <v>236</v>
      </c>
      <c r="B91" s="115" t="s">
        <v>388</v>
      </c>
      <c r="C91" s="110" t="s">
        <v>247</v>
      </c>
      <c r="D91" s="84"/>
      <c r="E91" s="110" t="s">
        <v>175</v>
      </c>
      <c r="F91" s="48"/>
    </row>
    <row r="92" spans="1:6" ht="90" customHeight="1" x14ac:dyDescent="0.3">
      <c r="A92" s="90" t="s">
        <v>236</v>
      </c>
      <c r="B92" s="100" t="s">
        <v>388</v>
      </c>
      <c r="C92" s="112" t="s">
        <v>298</v>
      </c>
      <c r="D92" s="100"/>
      <c r="E92" s="84"/>
      <c r="F92" s="48"/>
    </row>
    <row r="93" spans="1:6" ht="90" customHeight="1" x14ac:dyDescent="0.3">
      <c r="A93" s="90" t="s">
        <v>236</v>
      </c>
      <c r="B93" s="100" t="s">
        <v>388</v>
      </c>
      <c r="C93" s="100" t="s">
        <v>402</v>
      </c>
      <c r="D93" s="110" t="s">
        <v>248</v>
      </c>
      <c r="E93" s="110" t="s">
        <v>96</v>
      </c>
      <c r="F93" s="53" t="s">
        <v>249</v>
      </c>
    </row>
    <row r="94" spans="1:6" ht="90" customHeight="1" x14ac:dyDescent="0.3">
      <c r="A94" s="90" t="s">
        <v>236</v>
      </c>
      <c r="B94" s="100" t="s">
        <v>388</v>
      </c>
      <c r="C94" s="100" t="s">
        <v>402</v>
      </c>
      <c r="D94" s="110" t="s">
        <v>250</v>
      </c>
      <c r="E94" s="110" t="s">
        <v>89</v>
      </c>
      <c r="F94" s="53" t="s">
        <v>311</v>
      </c>
    </row>
    <row r="95" spans="1:6" ht="90" customHeight="1" x14ac:dyDescent="0.3">
      <c r="A95" s="90" t="s">
        <v>236</v>
      </c>
      <c r="B95" s="100" t="s">
        <v>388</v>
      </c>
      <c r="C95" s="100" t="s">
        <v>402</v>
      </c>
      <c r="D95" s="116" t="s">
        <v>627</v>
      </c>
      <c r="E95" s="114" t="s">
        <v>319</v>
      </c>
      <c r="F95" s="54" t="s">
        <v>299</v>
      </c>
    </row>
    <row r="96" spans="1:6" ht="117.9" customHeight="1" x14ac:dyDescent="0.3">
      <c r="A96" s="90" t="s">
        <v>236</v>
      </c>
      <c r="B96" s="112" t="s">
        <v>282</v>
      </c>
      <c r="C96" s="100"/>
      <c r="D96" s="100"/>
      <c r="E96" s="84"/>
      <c r="F96" s="48"/>
    </row>
    <row r="97" spans="1:8" ht="117.9" customHeight="1" x14ac:dyDescent="0.3">
      <c r="A97" s="90" t="s">
        <v>236</v>
      </c>
      <c r="B97" s="100" t="s">
        <v>389</v>
      </c>
      <c r="C97" s="110" t="s">
        <v>300</v>
      </c>
      <c r="D97" s="84"/>
      <c r="E97" s="110" t="s">
        <v>162</v>
      </c>
      <c r="F97" s="53" t="s">
        <v>251</v>
      </c>
    </row>
    <row r="98" spans="1:8" ht="111.9" customHeight="1" x14ac:dyDescent="0.3">
      <c r="A98" s="90" t="s">
        <v>236</v>
      </c>
      <c r="B98" s="100" t="s">
        <v>389</v>
      </c>
      <c r="C98" s="110" t="s">
        <v>259</v>
      </c>
      <c r="D98" s="84"/>
      <c r="E98" s="110" t="s">
        <v>162</v>
      </c>
      <c r="F98" s="53" t="s">
        <v>252</v>
      </c>
    </row>
    <row r="99" spans="1:8" ht="48" customHeight="1" x14ac:dyDescent="0.3">
      <c r="A99" s="90" t="s">
        <v>236</v>
      </c>
      <c r="B99" s="100" t="s">
        <v>389</v>
      </c>
      <c r="C99" s="110" t="s">
        <v>253</v>
      </c>
      <c r="D99" s="84"/>
      <c r="E99" s="110" t="s">
        <v>254</v>
      </c>
      <c r="F99" s="48"/>
    </row>
    <row r="100" spans="1:8" ht="132" customHeight="1" x14ac:dyDescent="0.3">
      <c r="A100" s="90" t="s">
        <v>236</v>
      </c>
      <c r="B100" s="110" t="s">
        <v>257</v>
      </c>
      <c r="C100" s="110"/>
      <c r="D100" s="84"/>
      <c r="E100" s="110" t="s">
        <v>286</v>
      </c>
      <c r="F100" s="53" t="s">
        <v>312</v>
      </c>
    </row>
    <row r="101" spans="1:8" ht="63" customHeight="1" x14ac:dyDescent="0.3">
      <c r="A101" s="90" t="s">
        <v>236</v>
      </c>
      <c r="B101" s="110" t="s">
        <v>258</v>
      </c>
      <c r="C101" s="110"/>
      <c r="D101" s="84"/>
      <c r="E101" s="110" t="s">
        <v>206</v>
      </c>
      <c r="F101" s="48"/>
    </row>
    <row r="102" spans="1:8" ht="39.9" customHeight="1" x14ac:dyDescent="0.3">
      <c r="A102" s="100"/>
      <c r="B102" s="100"/>
      <c r="C102" s="100"/>
      <c r="D102" s="100"/>
      <c r="E102" s="84"/>
      <c r="F102" s="48"/>
    </row>
    <row r="103" spans="1:8" ht="152.1" customHeight="1" x14ac:dyDescent="0.3">
      <c r="A103" s="118" t="s">
        <v>320</v>
      </c>
      <c r="C103" s="85"/>
      <c r="D103" s="85"/>
      <c r="E103" s="119"/>
      <c r="F103" s="48"/>
    </row>
    <row r="104" spans="1:8" ht="90.9" customHeight="1" x14ac:dyDescent="0.3">
      <c r="A104" s="87" t="s">
        <v>115</v>
      </c>
      <c r="B104" s="120" t="s">
        <v>262</v>
      </c>
      <c r="C104" s="121"/>
      <c r="D104" s="121"/>
      <c r="E104" s="121"/>
      <c r="F104" s="48"/>
    </row>
    <row r="105" spans="1:8" ht="84" customHeight="1" x14ac:dyDescent="0.3">
      <c r="A105" s="87" t="s">
        <v>115</v>
      </c>
      <c r="B105" s="84" t="s">
        <v>403</v>
      </c>
      <c r="C105" s="118" t="s">
        <v>32</v>
      </c>
      <c r="D105" s="84"/>
      <c r="E105" s="122" t="s">
        <v>45</v>
      </c>
      <c r="F105" s="55" t="s">
        <v>313</v>
      </c>
    </row>
    <row r="106" spans="1:8" ht="57.9" customHeight="1" x14ac:dyDescent="0.3">
      <c r="A106" s="87" t="s">
        <v>115</v>
      </c>
      <c r="B106" s="84" t="s">
        <v>403</v>
      </c>
      <c r="C106" s="118" t="s">
        <v>31</v>
      </c>
      <c r="D106" s="84"/>
      <c r="E106" s="118" t="s">
        <v>206</v>
      </c>
      <c r="F106" s="55" t="s">
        <v>314</v>
      </c>
    </row>
    <row r="107" spans="1:8" ht="107.1" customHeight="1" x14ac:dyDescent="0.3">
      <c r="A107" s="87" t="s">
        <v>115</v>
      </c>
      <c r="B107" s="120" t="s">
        <v>159</v>
      </c>
      <c r="C107" s="84"/>
      <c r="D107" s="84"/>
      <c r="E107" s="84"/>
      <c r="F107" s="48"/>
    </row>
    <row r="108" spans="1:8" ht="50.1" customHeight="1" x14ac:dyDescent="0.3">
      <c r="A108" s="87" t="s">
        <v>115</v>
      </c>
      <c r="B108" s="84" t="s">
        <v>404</v>
      </c>
      <c r="C108" s="118" t="s">
        <v>33</v>
      </c>
      <c r="D108" s="84"/>
      <c r="E108" s="123" t="s">
        <v>639</v>
      </c>
      <c r="F108" s="48"/>
    </row>
    <row r="109" spans="1:8" ht="53.1" customHeight="1" x14ac:dyDescent="0.3">
      <c r="A109" s="87" t="s">
        <v>115</v>
      </c>
      <c r="B109" s="84" t="s">
        <v>404</v>
      </c>
      <c r="C109" s="118" t="s">
        <v>34</v>
      </c>
      <c r="D109" s="84"/>
      <c r="E109" s="118" t="s">
        <v>45</v>
      </c>
      <c r="F109" s="48"/>
    </row>
    <row r="110" spans="1:8" ht="108" customHeight="1" x14ac:dyDescent="0.3">
      <c r="A110" s="87" t="s">
        <v>115</v>
      </c>
      <c r="B110" s="84" t="s">
        <v>404</v>
      </c>
      <c r="C110" s="123" t="s">
        <v>336</v>
      </c>
      <c r="D110" s="84"/>
      <c r="E110" s="118" t="s">
        <v>175</v>
      </c>
      <c r="F110" s="48" t="s">
        <v>94</v>
      </c>
    </row>
    <row r="111" spans="1:8" ht="177" customHeight="1" x14ac:dyDescent="0.3">
      <c r="A111" s="90" t="s">
        <v>115</v>
      </c>
      <c r="B111" s="124" t="s">
        <v>380</v>
      </c>
      <c r="C111" s="84"/>
      <c r="D111" s="84"/>
      <c r="E111" s="121"/>
    </row>
    <row r="112" spans="1:8" s="51" customFormat="1" ht="56.1" customHeight="1" x14ac:dyDescent="0.3">
      <c r="A112" s="111" t="s">
        <v>115</v>
      </c>
      <c r="B112" s="84" t="s">
        <v>405</v>
      </c>
      <c r="C112" s="123" t="s">
        <v>337</v>
      </c>
      <c r="D112" s="84"/>
      <c r="E112" s="122" t="s">
        <v>7</v>
      </c>
      <c r="F112" s="52" t="s">
        <v>24</v>
      </c>
      <c r="G112" s="187"/>
      <c r="H112" s="187"/>
    </row>
    <row r="113" spans="1:8" s="51" customFormat="1" ht="66.900000000000006" customHeight="1" x14ac:dyDescent="0.3">
      <c r="A113" s="111" t="s">
        <v>115</v>
      </c>
      <c r="B113" s="84" t="s">
        <v>405</v>
      </c>
      <c r="C113" s="118" t="s">
        <v>23</v>
      </c>
      <c r="D113" s="84"/>
      <c r="E113" s="118" t="s">
        <v>26</v>
      </c>
      <c r="F113" s="52" t="s">
        <v>25</v>
      </c>
      <c r="G113" s="187"/>
      <c r="H113" s="187"/>
    </row>
    <row r="114" spans="1:8" s="51" customFormat="1" ht="77.099999999999994" customHeight="1" x14ac:dyDescent="0.3">
      <c r="A114" s="111" t="s">
        <v>115</v>
      </c>
      <c r="B114" s="84" t="s">
        <v>405</v>
      </c>
      <c r="C114" s="118" t="s">
        <v>36</v>
      </c>
      <c r="D114" s="84"/>
      <c r="E114" s="118" t="s">
        <v>175</v>
      </c>
      <c r="F114" s="52" t="s">
        <v>37</v>
      </c>
      <c r="G114" s="187"/>
      <c r="H114" s="187"/>
    </row>
    <row r="115" spans="1:8" s="51" customFormat="1" ht="143.1" customHeight="1" x14ac:dyDescent="0.3">
      <c r="A115" s="82" t="s">
        <v>115</v>
      </c>
      <c r="B115" s="124" t="s">
        <v>338</v>
      </c>
      <c r="C115" s="84"/>
      <c r="D115" s="84"/>
      <c r="E115" s="121"/>
      <c r="F115" s="52"/>
      <c r="G115" s="187"/>
      <c r="H115" s="187"/>
    </row>
    <row r="116" spans="1:8" s="51" customFormat="1" ht="50.1" customHeight="1" x14ac:dyDescent="0.3">
      <c r="A116" s="82" t="s">
        <v>115</v>
      </c>
      <c r="B116" s="84" t="s">
        <v>406</v>
      </c>
      <c r="C116" s="123" t="s">
        <v>339</v>
      </c>
      <c r="D116" s="84"/>
      <c r="E116" s="122" t="s">
        <v>19</v>
      </c>
      <c r="F116" s="55" t="s">
        <v>148</v>
      </c>
      <c r="G116" s="187"/>
      <c r="H116" s="187"/>
    </row>
    <row r="117" spans="1:8" s="51" customFormat="1" ht="51.9" customHeight="1" x14ac:dyDescent="0.3">
      <c r="A117" s="82" t="s">
        <v>115</v>
      </c>
      <c r="B117" s="84" t="s">
        <v>406</v>
      </c>
      <c r="C117" s="118" t="s">
        <v>18</v>
      </c>
      <c r="D117" s="84"/>
      <c r="E117" s="122" t="s">
        <v>207</v>
      </c>
      <c r="F117" s="55" t="s">
        <v>57</v>
      </c>
      <c r="G117" s="187"/>
      <c r="H117" s="187"/>
    </row>
    <row r="118" spans="1:8" s="51" customFormat="1" ht="66.900000000000006" customHeight="1" x14ac:dyDescent="0.3">
      <c r="A118" s="82" t="s">
        <v>115</v>
      </c>
      <c r="B118" s="118" t="s">
        <v>102</v>
      </c>
      <c r="C118" s="84"/>
      <c r="D118" s="84"/>
      <c r="E118" s="118" t="s">
        <v>45</v>
      </c>
      <c r="F118" s="50"/>
      <c r="G118" s="187"/>
      <c r="H118" s="187"/>
    </row>
    <row r="119" spans="1:8" ht="63.9" customHeight="1" x14ac:dyDescent="0.3">
      <c r="A119" s="87" t="s">
        <v>115</v>
      </c>
      <c r="B119" s="118" t="s">
        <v>130</v>
      </c>
      <c r="C119" s="84"/>
      <c r="D119" s="85"/>
      <c r="E119" s="118" t="s">
        <v>21</v>
      </c>
      <c r="F119" s="55" t="s">
        <v>131</v>
      </c>
    </row>
    <row r="120" spans="1:8" ht="126.9" customHeight="1" x14ac:dyDescent="0.3">
      <c r="A120" s="87" t="s">
        <v>115</v>
      </c>
      <c r="B120" s="118" t="s">
        <v>302</v>
      </c>
      <c r="C120" s="84"/>
      <c r="D120" s="85"/>
      <c r="E120" s="118" t="s">
        <v>175</v>
      </c>
      <c r="F120" s="55" t="s">
        <v>22</v>
      </c>
    </row>
    <row r="121" spans="1:8" s="51" customFormat="1" ht="45" customHeight="1" x14ac:dyDescent="0.3">
      <c r="A121" s="85"/>
      <c r="B121" s="84"/>
      <c r="C121" s="85"/>
      <c r="D121" s="85"/>
      <c r="E121" s="85"/>
      <c r="F121" s="50"/>
      <c r="G121" s="187"/>
      <c r="H121" s="187"/>
    </row>
    <row r="122" spans="1:8" ht="219" customHeight="1" x14ac:dyDescent="0.3">
      <c r="A122" s="125" t="s">
        <v>381</v>
      </c>
      <c r="E122" s="119"/>
    </row>
    <row r="123" spans="1:8" ht="221.1" customHeight="1" x14ac:dyDescent="0.3">
      <c r="A123" s="87" t="s">
        <v>116</v>
      </c>
      <c r="B123" s="126" t="s">
        <v>340</v>
      </c>
      <c r="C123" s="84"/>
      <c r="D123" s="85"/>
      <c r="E123" s="84"/>
    </row>
    <row r="124" spans="1:8" ht="51" customHeight="1" x14ac:dyDescent="0.3">
      <c r="A124" s="87" t="s">
        <v>116</v>
      </c>
      <c r="B124" s="125" t="s">
        <v>407</v>
      </c>
      <c r="C124" s="127" t="s">
        <v>640</v>
      </c>
      <c r="D124" s="128"/>
      <c r="E124" s="127" t="s">
        <v>7</v>
      </c>
    </row>
    <row r="125" spans="1:8" ht="51" customHeight="1" x14ac:dyDescent="0.3">
      <c r="A125" s="87" t="s">
        <v>116</v>
      </c>
      <c r="B125" s="125" t="s">
        <v>407</v>
      </c>
      <c r="C125" s="127" t="s">
        <v>161</v>
      </c>
      <c r="D125" s="128"/>
      <c r="E125" s="127" t="s">
        <v>7</v>
      </c>
    </row>
    <row r="126" spans="1:8" ht="53.1" customHeight="1" x14ac:dyDescent="0.3">
      <c r="A126" s="87" t="s">
        <v>116</v>
      </c>
      <c r="B126" s="125" t="s">
        <v>407</v>
      </c>
      <c r="C126" s="127" t="s">
        <v>641</v>
      </c>
      <c r="D126" s="128"/>
      <c r="E126" s="127" t="s">
        <v>162</v>
      </c>
    </row>
    <row r="127" spans="1:8" ht="81" customHeight="1" x14ac:dyDescent="0.3">
      <c r="A127" s="87" t="s">
        <v>116</v>
      </c>
      <c r="B127" s="125" t="s">
        <v>407</v>
      </c>
      <c r="C127" s="127" t="s">
        <v>163</v>
      </c>
      <c r="D127" s="128"/>
      <c r="E127" s="127" t="s">
        <v>164</v>
      </c>
    </row>
    <row r="128" spans="1:8" ht="86.1" customHeight="1" x14ac:dyDescent="0.3">
      <c r="A128" s="90" t="s">
        <v>116</v>
      </c>
      <c r="B128" s="129" t="s">
        <v>132</v>
      </c>
      <c r="C128" s="130" t="s">
        <v>56</v>
      </c>
      <c r="D128" s="84"/>
      <c r="E128" s="119"/>
      <c r="F128" s="56"/>
    </row>
    <row r="129" spans="1:8" ht="60" customHeight="1" x14ac:dyDescent="0.3">
      <c r="A129" s="90" t="s">
        <v>116</v>
      </c>
      <c r="B129" s="84" t="s">
        <v>408</v>
      </c>
      <c r="C129" s="125" t="s">
        <v>133</v>
      </c>
      <c r="D129" s="84"/>
      <c r="E129" s="125" t="s">
        <v>7</v>
      </c>
      <c r="F129" s="57" t="s">
        <v>120</v>
      </c>
    </row>
    <row r="130" spans="1:8" ht="56.1" customHeight="1" x14ac:dyDescent="0.3">
      <c r="A130" s="87" t="s">
        <v>116</v>
      </c>
      <c r="B130" s="97" t="s">
        <v>408</v>
      </c>
      <c r="C130" s="125" t="s">
        <v>103</v>
      </c>
      <c r="D130" s="84"/>
      <c r="E130" s="127" t="s">
        <v>341</v>
      </c>
      <c r="F130" s="58" t="s">
        <v>11</v>
      </c>
    </row>
    <row r="131" spans="1:8" ht="69.900000000000006" customHeight="1" x14ac:dyDescent="0.3">
      <c r="A131" s="87" t="s">
        <v>116</v>
      </c>
      <c r="B131" s="97" t="s">
        <v>408</v>
      </c>
      <c r="C131" s="125" t="s">
        <v>134</v>
      </c>
      <c r="D131" s="84"/>
      <c r="E131" s="127" t="s">
        <v>342</v>
      </c>
      <c r="F131" s="48"/>
    </row>
    <row r="132" spans="1:8" ht="92.1" customHeight="1" x14ac:dyDescent="0.3">
      <c r="A132" s="87" t="s">
        <v>116</v>
      </c>
      <c r="B132" s="97" t="s">
        <v>408</v>
      </c>
      <c r="C132" s="125" t="s">
        <v>151</v>
      </c>
      <c r="D132" s="84"/>
      <c r="E132" s="125" t="s">
        <v>208</v>
      </c>
      <c r="F132" s="58" t="s">
        <v>12</v>
      </c>
    </row>
    <row r="133" spans="1:8" s="51" customFormat="1" ht="125.1" customHeight="1" x14ac:dyDescent="0.3">
      <c r="A133" s="82" t="s">
        <v>116</v>
      </c>
      <c r="B133" s="127" t="s">
        <v>343</v>
      </c>
      <c r="C133" s="93"/>
      <c r="D133" s="93"/>
      <c r="E133" s="127" t="s">
        <v>639</v>
      </c>
      <c r="F133" s="58" t="s">
        <v>301</v>
      </c>
      <c r="G133" s="187"/>
      <c r="H133" s="187"/>
    </row>
    <row r="134" spans="1:8" ht="72" customHeight="1" x14ac:dyDescent="0.3">
      <c r="A134" s="87" t="s">
        <v>116</v>
      </c>
      <c r="B134" s="129" t="s">
        <v>5</v>
      </c>
      <c r="C134" s="131"/>
      <c r="D134" s="131"/>
      <c r="E134" s="119"/>
    </row>
    <row r="135" spans="1:8" ht="66" customHeight="1" x14ac:dyDescent="0.3">
      <c r="A135" s="87" t="s">
        <v>116</v>
      </c>
      <c r="B135" s="84" t="s">
        <v>409</v>
      </c>
      <c r="C135" s="127" t="s">
        <v>104</v>
      </c>
      <c r="D135" s="93"/>
      <c r="E135" s="125" t="s">
        <v>7</v>
      </c>
    </row>
    <row r="136" spans="1:8" ht="57.9" customHeight="1" x14ac:dyDescent="0.3">
      <c r="A136" s="87" t="s">
        <v>116</v>
      </c>
      <c r="B136" s="84" t="s">
        <v>409</v>
      </c>
      <c r="C136" s="127" t="s">
        <v>59</v>
      </c>
      <c r="D136" s="93"/>
      <c r="E136" s="125" t="s">
        <v>209</v>
      </c>
    </row>
    <row r="137" spans="1:8" ht="96.9" customHeight="1" x14ac:dyDescent="0.3">
      <c r="A137" s="87" t="s">
        <v>116</v>
      </c>
      <c r="B137" s="84" t="s">
        <v>409</v>
      </c>
      <c r="C137" s="132" t="s">
        <v>105</v>
      </c>
      <c r="D137" s="93"/>
      <c r="E137" s="125" t="s">
        <v>41</v>
      </c>
    </row>
    <row r="138" spans="1:8" ht="66" customHeight="1" x14ac:dyDescent="0.3">
      <c r="A138" s="87" t="s">
        <v>116</v>
      </c>
      <c r="B138" s="129" t="s">
        <v>6</v>
      </c>
      <c r="C138" s="130"/>
      <c r="D138" s="93"/>
      <c r="E138" s="84"/>
    </row>
    <row r="139" spans="1:8" ht="83.1" customHeight="1" x14ac:dyDescent="0.3">
      <c r="A139" s="87" t="s">
        <v>116</v>
      </c>
      <c r="B139" s="84" t="s">
        <v>410</v>
      </c>
      <c r="C139" s="125" t="s">
        <v>58</v>
      </c>
      <c r="D139" s="84"/>
      <c r="E139" s="125" t="s">
        <v>7</v>
      </c>
    </row>
    <row r="140" spans="1:8" ht="45" customHeight="1" x14ac:dyDescent="0.3">
      <c r="A140" s="87" t="s">
        <v>116</v>
      </c>
      <c r="B140" s="84" t="s">
        <v>410</v>
      </c>
      <c r="C140" s="127" t="s">
        <v>344</v>
      </c>
      <c r="D140" s="93"/>
      <c r="E140" s="127" t="s">
        <v>7</v>
      </c>
      <c r="F140" s="59" t="s">
        <v>42</v>
      </c>
    </row>
    <row r="141" spans="1:8" ht="81" customHeight="1" x14ac:dyDescent="0.3">
      <c r="A141" s="87" t="s">
        <v>116</v>
      </c>
      <c r="B141" s="84" t="s">
        <v>410</v>
      </c>
      <c r="C141" s="127" t="s">
        <v>345</v>
      </c>
      <c r="D141" s="93"/>
      <c r="E141" s="127" t="s">
        <v>639</v>
      </c>
    </row>
    <row r="142" spans="1:8" ht="75" customHeight="1" x14ac:dyDescent="0.3">
      <c r="A142" s="87" t="s">
        <v>116</v>
      </c>
      <c r="B142" s="129" t="s">
        <v>127</v>
      </c>
      <c r="C142" s="84"/>
      <c r="D142" s="84"/>
      <c r="E142" s="119"/>
    </row>
    <row r="143" spans="1:8" ht="81.900000000000006" customHeight="1" x14ac:dyDescent="0.3">
      <c r="A143" s="87" t="s">
        <v>116</v>
      </c>
      <c r="B143" s="84" t="s">
        <v>405</v>
      </c>
      <c r="C143" s="127" t="s">
        <v>346</v>
      </c>
      <c r="D143" s="84"/>
      <c r="E143" s="119"/>
    </row>
    <row r="144" spans="1:8" ht="78.900000000000006" customHeight="1" x14ac:dyDescent="0.3">
      <c r="A144" s="87" t="s">
        <v>116</v>
      </c>
      <c r="B144" s="84" t="s">
        <v>405</v>
      </c>
      <c r="C144" s="84" t="s">
        <v>508</v>
      </c>
      <c r="D144" s="125" t="s">
        <v>39</v>
      </c>
      <c r="E144" s="125" t="s">
        <v>165</v>
      </c>
      <c r="F144" s="58" t="s">
        <v>40</v>
      </c>
    </row>
    <row r="145" spans="1:6" ht="83.1" customHeight="1" x14ac:dyDescent="0.3">
      <c r="A145" s="87" t="s">
        <v>116</v>
      </c>
      <c r="B145" s="84" t="s">
        <v>405</v>
      </c>
      <c r="C145" s="84" t="s">
        <v>508</v>
      </c>
      <c r="D145" s="125" t="s">
        <v>35</v>
      </c>
      <c r="E145" s="127" t="s">
        <v>639</v>
      </c>
      <c r="F145" s="60" t="s">
        <v>315</v>
      </c>
    </row>
    <row r="146" spans="1:6" ht="105" customHeight="1" x14ac:dyDescent="0.3">
      <c r="A146" s="87" t="s">
        <v>116</v>
      </c>
      <c r="B146" s="84" t="s">
        <v>405</v>
      </c>
      <c r="C146" s="127" t="s">
        <v>347</v>
      </c>
      <c r="D146" s="84"/>
      <c r="E146" s="127" t="s">
        <v>639</v>
      </c>
      <c r="F146" s="58" t="s">
        <v>38</v>
      </c>
    </row>
    <row r="147" spans="1:6" ht="113.1" customHeight="1" x14ac:dyDescent="0.3">
      <c r="A147" s="87" t="s">
        <v>116</v>
      </c>
      <c r="B147" s="129" t="s">
        <v>106</v>
      </c>
      <c r="C147" s="84"/>
      <c r="D147" s="84"/>
      <c r="E147" s="84"/>
    </row>
    <row r="148" spans="1:6" ht="143.1" customHeight="1" x14ac:dyDescent="0.3">
      <c r="A148" s="87" t="s">
        <v>116</v>
      </c>
      <c r="B148" s="84" t="s">
        <v>411</v>
      </c>
      <c r="C148" s="127" t="s">
        <v>377</v>
      </c>
      <c r="D148" s="84"/>
      <c r="E148" s="125" t="s">
        <v>7</v>
      </c>
      <c r="F148" s="57" t="s">
        <v>378</v>
      </c>
    </row>
    <row r="149" spans="1:6" ht="86.1" customHeight="1" x14ac:dyDescent="0.3">
      <c r="A149" s="87" t="s">
        <v>116</v>
      </c>
      <c r="B149" s="84" t="s">
        <v>411</v>
      </c>
      <c r="C149" s="127" t="s">
        <v>348</v>
      </c>
      <c r="D149" s="93"/>
      <c r="E149" s="127" t="s">
        <v>639</v>
      </c>
    </row>
    <row r="150" spans="1:6" ht="74.099999999999994" customHeight="1" x14ac:dyDescent="0.3">
      <c r="A150" s="87" t="s">
        <v>116</v>
      </c>
      <c r="B150" s="129" t="s">
        <v>107</v>
      </c>
      <c r="C150" s="93"/>
      <c r="D150" s="93"/>
      <c r="E150" s="133"/>
    </row>
    <row r="151" spans="1:6" ht="84.9" customHeight="1" x14ac:dyDescent="0.3">
      <c r="A151" s="87" t="s">
        <v>116</v>
      </c>
      <c r="B151" s="84" t="s">
        <v>412</v>
      </c>
      <c r="C151" s="127" t="s">
        <v>349</v>
      </c>
      <c r="D151" s="93"/>
      <c r="E151" s="127" t="s">
        <v>639</v>
      </c>
    </row>
    <row r="152" spans="1:6" ht="48.9" customHeight="1" x14ac:dyDescent="0.3">
      <c r="A152" s="87" t="s">
        <v>116</v>
      </c>
      <c r="B152" s="84" t="s">
        <v>412</v>
      </c>
      <c r="C152" s="125" t="s">
        <v>60</v>
      </c>
      <c r="D152" s="84"/>
      <c r="E152" s="125" t="s">
        <v>43</v>
      </c>
    </row>
    <row r="153" spans="1:6" ht="95.1" customHeight="1" x14ac:dyDescent="0.3">
      <c r="A153" s="87" t="s">
        <v>116</v>
      </c>
      <c r="B153" s="127" t="s">
        <v>350</v>
      </c>
      <c r="C153" s="93"/>
      <c r="D153" s="93"/>
      <c r="E153" s="127" t="s">
        <v>639</v>
      </c>
      <c r="F153" s="58" t="s">
        <v>10</v>
      </c>
    </row>
    <row r="154" spans="1:6" ht="104.1" customHeight="1" x14ac:dyDescent="0.3">
      <c r="A154" s="87" t="s">
        <v>116</v>
      </c>
      <c r="B154" s="127" t="s">
        <v>351</v>
      </c>
      <c r="C154" s="93"/>
      <c r="D154" s="93"/>
      <c r="E154" s="127" t="s">
        <v>639</v>
      </c>
      <c r="F154" s="58" t="s">
        <v>145</v>
      </c>
    </row>
    <row r="155" spans="1:6" ht="207" customHeight="1" x14ac:dyDescent="0.3">
      <c r="A155" s="87" t="s">
        <v>116</v>
      </c>
      <c r="B155" s="129" t="s">
        <v>160</v>
      </c>
      <c r="E155" s="85"/>
    </row>
    <row r="156" spans="1:6" ht="75.900000000000006" customHeight="1" x14ac:dyDescent="0.3">
      <c r="A156" s="87" t="s">
        <v>116</v>
      </c>
      <c r="B156" s="84" t="s">
        <v>413</v>
      </c>
      <c r="C156" s="125" t="s">
        <v>263</v>
      </c>
      <c r="D156" s="85"/>
      <c r="E156" s="127" t="s">
        <v>303</v>
      </c>
    </row>
    <row r="157" spans="1:6" ht="92.1" customHeight="1" x14ac:dyDescent="0.3">
      <c r="A157" s="87" t="s">
        <v>116</v>
      </c>
      <c r="B157" s="134" t="s">
        <v>413</v>
      </c>
      <c r="C157" s="125" t="s">
        <v>136</v>
      </c>
      <c r="D157" s="84"/>
      <c r="E157" s="125" t="s">
        <v>45</v>
      </c>
    </row>
    <row r="158" spans="1:6" ht="78" customHeight="1" x14ac:dyDescent="0.3">
      <c r="A158" s="87" t="s">
        <v>116</v>
      </c>
      <c r="B158" s="134" t="s">
        <v>413</v>
      </c>
      <c r="C158" s="129" t="s">
        <v>50</v>
      </c>
      <c r="D158" s="84"/>
      <c r="E158" s="119"/>
      <c r="F158" s="48"/>
    </row>
    <row r="159" spans="1:6" ht="75.900000000000006" customHeight="1" x14ac:dyDescent="0.3">
      <c r="A159" s="87" t="s">
        <v>116</v>
      </c>
      <c r="B159" s="134" t="s">
        <v>413</v>
      </c>
      <c r="C159" s="84" t="s">
        <v>414</v>
      </c>
      <c r="D159" s="125" t="s">
        <v>108</v>
      </c>
      <c r="E159" s="125" t="s">
        <v>45</v>
      </c>
      <c r="F159" s="58" t="s">
        <v>54</v>
      </c>
    </row>
    <row r="160" spans="1:6" ht="96" customHeight="1" x14ac:dyDescent="0.3">
      <c r="A160" s="87" t="s">
        <v>116</v>
      </c>
      <c r="B160" s="134" t="s">
        <v>413</v>
      </c>
      <c r="C160" s="84" t="s">
        <v>414</v>
      </c>
      <c r="D160" s="127" t="s">
        <v>352</v>
      </c>
      <c r="E160" s="127" t="s">
        <v>639</v>
      </c>
      <c r="F160" s="58" t="s">
        <v>95</v>
      </c>
    </row>
    <row r="161" spans="1:7" ht="66.900000000000006" customHeight="1" x14ac:dyDescent="0.3">
      <c r="A161" s="87" t="s">
        <v>116</v>
      </c>
      <c r="B161" s="134" t="s">
        <v>413</v>
      </c>
      <c r="C161" s="129" t="s">
        <v>46</v>
      </c>
      <c r="D161" s="84"/>
      <c r="E161" s="84"/>
      <c r="F161" s="48"/>
    </row>
    <row r="162" spans="1:7" ht="79.5" customHeight="1" x14ac:dyDescent="0.3">
      <c r="A162" s="87" t="s">
        <v>116</v>
      </c>
      <c r="B162" s="134" t="s">
        <v>413</v>
      </c>
      <c r="C162" s="84" t="s">
        <v>415</v>
      </c>
      <c r="D162" s="125" t="s">
        <v>109</v>
      </c>
      <c r="E162" s="125" t="s">
        <v>45</v>
      </c>
      <c r="F162" s="60" t="s">
        <v>48</v>
      </c>
    </row>
    <row r="163" spans="1:7" ht="84.75" customHeight="1" x14ac:dyDescent="0.3">
      <c r="A163" s="87" t="s">
        <v>116</v>
      </c>
      <c r="B163" s="134" t="s">
        <v>413</v>
      </c>
      <c r="C163" s="84" t="s">
        <v>415</v>
      </c>
      <c r="D163" s="127" t="s">
        <v>353</v>
      </c>
      <c r="E163" s="127" t="s">
        <v>639</v>
      </c>
      <c r="F163" s="60" t="s">
        <v>135</v>
      </c>
    </row>
    <row r="164" spans="1:7" ht="72" customHeight="1" x14ac:dyDescent="0.3">
      <c r="A164" s="87" t="s">
        <v>116</v>
      </c>
      <c r="B164" s="134" t="s">
        <v>413</v>
      </c>
      <c r="C164" s="129" t="s">
        <v>110</v>
      </c>
      <c r="D164" s="84"/>
      <c r="E164" s="121"/>
    </row>
    <row r="165" spans="1:7" ht="54" customHeight="1" x14ac:dyDescent="0.3">
      <c r="A165" s="87" t="s">
        <v>116</v>
      </c>
      <c r="B165" s="134" t="s">
        <v>413</v>
      </c>
      <c r="C165" s="84" t="s">
        <v>416</v>
      </c>
      <c r="D165" s="135" t="s">
        <v>51</v>
      </c>
      <c r="E165" s="136" t="s">
        <v>45</v>
      </c>
      <c r="F165" s="58" t="s">
        <v>52</v>
      </c>
    </row>
    <row r="166" spans="1:7" ht="81.900000000000006" customHeight="1" x14ac:dyDescent="0.3">
      <c r="A166" s="87" t="s">
        <v>116</v>
      </c>
      <c r="B166" s="134" t="s">
        <v>413</v>
      </c>
      <c r="C166" s="84" t="s">
        <v>416</v>
      </c>
      <c r="D166" s="127" t="s">
        <v>354</v>
      </c>
      <c r="E166" s="127" t="s">
        <v>639</v>
      </c>
      <c r="F166" s="60" t="s">
        <v>47</v>
      </c>
    </row>
    <row r="167" spans="1:7" ht="78" customHeight="1" x14ac:dyDescent="0.3">
      <c r="A167" s="87" t="s">
        <v>116</v>
      </c>
      <c r="B167" s="84" t="s">
        <v>413</v>
      </c>
      <c r="C167" s="126" t="s">
        <v>355</v>
      </c>
      <c r="D167" s="84"/>
      <c r="E167" s="121"/>
      <c r="F167" s="48" t="s">
        <v>56</v>
      </c>
    </row>
    <row r="168" spans="1:7" ht="71.099999999999994" customHeight="1" x14ac:dyDescent="0.3">
      <c r="A168" s="87" t="s">
        <v>116</v>
      </c>
      <c r="B168" s="134" t="s">
        <v>413</v>
      </c>
      <c r="C168" s="134" t="s">
        <v>417</v>
      </c>
      <c r="D168" s="125" t="s">
        <v>51</v>
      </c>
      <c r="E168" s="125" t="s">
        <v>45</v>
      </c>
      <c r="F168" s="58" t="s">
        <v>49</v>
      </c>
    </row>
    <row r="169" spans="1:7" ht="86.25" customHeight="1" x14ac:dyDescent="0.3">
      <c r="A169" s="87" t="s">
        <v>116</v>
      </c>
      <c r="B169" s="134" t="s">
        <v>413</v>
      </c>
      <c r="C169" s="134" t="s">
        <v>417</v>
      </c>
      <c r="D169" s="126" t="s">
        <v>356</v>
      </c>
      <c r="E169" s="127" t="s">
        <v>639</v>
      </c>
      <c r="F169" s="58" t="s">
        <v>55</v>
      </c>
    </row>
    <row r="170" spans="1:7" ht="80.099999999999994" customHeight="1" x14ac:dyDescent="0.3">
      <c r="A170" s="137" t="s">
        <v>117</v>
      </c>
      <c r="E170" s="119"/>
    </row>
    <row r="171" spans="1:7" ht="96.9" customHeight="1" x14ac:dyDescent="0.3">
      <c r="A171" s="87" t="s">
        <v>1</v>
      </c>
      <c r="B171" s="138" t="s">
        <v>75</v>
      </c>
      <c r="C171" s="115"/>
      <c r="D171" s="115"/>
      <c r="E171" s="119"/>
    </row>
    <row r="172" spans="1:7" ht="75" customHeight="1" x14ac:dyDescent="0.3">
      <c r="A172" s="87" t="s">
        <v>1</v>
      </c>
      <c r="B172" s="84" t="s">
        <v>418</v>
      </c>
      <c r="C172" s="137" t="s">
        <v>53</v>
      </c>
      <c r="D172" s="84"/>
      <c r="E172" s="137" t="s">
        <v>7</v>
      </c>
      <c r="F172" s="61" t="s">
        <v>61</v>
      </c>
    </row>
    <row r="173" spans="1:7" ht="89.1" customHeight="1" x14ac:dyDescent="0.3">
      <c r="A173" s="87" t="s">
        <v>1</v>
      </c>
      <c r="B173" s="84" t="s">
        <v>418</v>
      </c>
      <c r="C173" s="139" t="s">
        <v>357</v>
      </c>
      <c r="D173" s="84"/>
      <c r="E173" s="137" t="s">
        <v>21</v>
      </c>
      <c r="F173" s="61" t="s">
        <v>68</v>
      </c>
    </row>
    <row r="174" spans="1:7" ht="65.099999999999994" customHeight="1" x14ac:dyDescent="0.3">
      <c r="A174" s="87" t="s">
        <v>1</v>
      </c>
      <c r="B174" s="84" t="s">
        <v>418</v>
      </c>
      <c r="C174" s="137" t="s">
        <v>74</v>
      </c>
      <c r="D174" s="84"/>
      <c r="E174" s="137" t="s">
        <v>20</v>
      </c>
      <c r="F174" s="61" t="s">
        <v>44</v>
      </c>
    </row>
    <row r="175" spans="1:7" ht="90" customHeight="1" x14ac:dyDescent="0.3">
      <c r="A175" s="98" t="s">
        <v>1</v>
      </c>
      <c r="B175" s="140" t="s">
        <v>418</v>
      </c>
      <c r="C175" s="141" t="s">
        <v>323</v>
      </c>
      <c r="D175" s="142"/>
      <c r="E175" s="143" t="s">
        <v>21</v>
      </c>
      <c r="F175" s="62" t="s">
        <v>69</v>
      </c>
      <c r="G175" s="189"/>
    </row>
    <row r="176" spans="1:7" ht="113.1" customHeight="1" x14ac:dyDescent="0.3">
      <c r="A176" s="144" t="s">
        <v>1</v>
      </c>
      <c r="B176" s="145" t="s">
        <v>111</v>
      </c>
      <c r="C176" s="146"/>
      <c r="D176" s="109"/>
      <c r="E176" s="147" t="s">
        <v>73</v>
      </c>
      <c r="F176" s="63" t="s">
        <v>63</v>
      </c>
    </row>
    <row r="177" spans="1:6" ht="68.099999999999994" customHeight="1" x14ac:dyDescent="0.3">
      <c r="A177" s="144" t="s">
        <v>1</v>
      </c>
      <c r="B177" s="148" t="s">
        <v>62</v>
      </c>
      <c r="C177" s="149"/>
      <c r="D177" s="109"/>
      <c r="E177" s="109"/>
      <c r="F177" s="64"/>
    </row>
    <row r="178" spans="1:6" ht="50.1" customHeight="1" x14ac:dyDescent="0.3">
      <c r="A178" s="144" t="s">
        <v>1</v>
      </c>
      <c r="B178" s="109" t="s">
        <v>419</v>
      </c>
      <c r="C178" s="150" t="s">
        <v>64</v>
      </c>
      <c r="D178" s="109"/>
      <c r="E178" s="147" t="s">
        <v>7</v>
      </c>
      <c r="F178" s="63" t="s">
        <v>67</v>
      </c>
    </row>
    <row r="179" spans="1:6" ht="54" customHeight="1" x14ac:dyDescent="0.3">
      <c r="A179" s="144" t="s">
        <v>1</v>
      </c>
      <c r="B179" s="109" t="s">
        <v>419</v>
      </c>
      <c r="C179" s="150" t="s">
        <v>66</v>
      </c>
      <c r="D179" s="109"/>
      <c r="E179" s="139" t="s">
        <v>639</v>
      </c>
      <c r="F179" s="63" t="s">
        <v>65</v>
      </c>
    </row>
    <row r="180" spans="1:6" ht="54" customHeight="1" x14ac:dyDescent="0.3">
      <c r="A180" s="144" t="s">
        <v>1</v>
      </c>
      <c r="B180" s="151" t="s">
        <v>129</v>
      </c>
      <c r="C180" s="109"/>
      <c r="D180" s="109"/>
      <c r="E180" s="109"/>
      <c r="F180" s="65"/>
    </row>
    <row r="181" spans="1:6" ht="54" customHeight="1" x14ac:dyDescent="0.3">
      <c r="A181" s="144" t="s">
        <v>1</v>
      </c>
      <c r="B181" s="109" t="s">
        <v>420</v>
      </c>
      <c r="C181" s="150" t="s">
        <v>64</v>
      </c>
      <c r="D181" s="109"/>
      <c r="E181" s="147" t="s">
        <v>7</v>
      </c>
      <c r="F181" s="63" t="s">
        <v>67</v>
      </c>
    </row>
    <row r="182" spans="1:6" ht="81.900000000000006" customHeight="1" x14ac:dyDescent="0.3">
      <c r="A182" s="144" t="s">
        <v>1</v>
      </c>
      <c r="B182" s="109" t="s">
        <v>420</v>
      </c>
      <c r="C182" s="152" t="s">
        <v>358</v>
      </c>
      <c r="D182" s="93"/>
      <c r="E182" s="139" t="s">
        <v>639</v>
      </c>
      <c r="F182" s="63" t="s">
        <v>65</v>
      </c>
    </row>
    <row r="183" spans="1:6" ht="104.1" customHeight="1" x14ac:dyDescent="0.3">
      <c r="A183" s="144" t="s">
        <v>1</v>
      </c>
      <c r="B183" s="151" t="s">
        <v>125</v>
      </c>
      <c r="C183" s="146"/>
      <c r="D183" s="153"/>
      <c r="E183" s="153"/>
      <c r="F183" s="65"/>
    </row>
    <row r="184" spans="1:6" ht="123" customHeight="1" x14ac:dyDescent="0.3">
      <c r="A184" s="144" t="s">
        <v>1</v>
      </c>
      <c r="B184" s="147" t="s">
        <v>421</v>
      </c>
      <c r="C184" s="147" t="s">
        <v>149</v>
      </c>
      <c r="D184" s="153"/>
      <c r="E184" s="154" t="s">
        <v>126</v>
      </c>
      <c r="F184" s="65"/>
    </row>
    <row r="185" spans="1:6" ht="99" customHeight="1" x14ac:dyDescent="0.3">
      <c r="A185" s="144" t="s">
        <v>1</v>
      </c>
      <c r="B185" s="147" t="s">
        <v>421</v>
      </c>
      <c r="C185" s="139" t="s">
        <v>359</v>
      </c>
      <c r="D185" s="133"/>
      <c r="E185" s="139" t="s">
        <v>639</v>
      </c>
      <c r="F185" s="65"/>
    </row>
    <row r="186" spans="1:6" ht="93.9" customHeight="1" x14ac:dyDescent="0.3">
      <c r="A186" s="87" t="s">
        <v>1</v>
      </c>
      <c r="B186" s="137" t="s">
        <v>121</v>
      </c>
      <c r="C186" s="85"/>
      <c r="D186" s="109"/>
      <c r="E186" s="155" t="s">
        <v>21</v>
      </c>
    </row>
    <row r="187" spans="1:6" ht="66.900000000000006" customHeight="1" x14ac:dyDescent="0.3">
      <c r="A187" s="87" t="s">
        <v>1</v>
      </c>
      <c r="B187" s="138" t="s">
        <v>71</v>
      </c>
      <c r="C187" s="100"/>
      <c r="D187" s="100"/>
      <c r="E187" s="121"/>
      <c r="F187" s="66"/>
    </row>
    <row r="188" spans="1:6" ht="69.900000000000006" customHeight="1" x14ac:dyDescent="0.3">
      <c r="A188" s="87" t="s">
        <v>1</v>
      </c>
      <c r="B188" s="100" t="s">
        <v>422</v>
      </c>
      <c r="C188" s="137" t="s">
        <v>76</v>
      </c>
      <c r="D188" s="84"/>
      <c r="E188" s="155" t="s">
        <v>7</v>
      </c>
      <c r="F188" s="66"/>
    </row>
    <row r="189" spans="1:6" ht="68.099999999999994" customHeight="1" x14ac:dyDescent="0.3">
      <c r="A189" s="87" t="s">
        <v>1</v>
      </c>
      <c r="B189" s="100" t="s">
        <v>422</v>
      </c>
      <c r="C189" s="137" t="s">
        <v>70</v>
      </c>
      <c r="D189" s="84"/>
      <c r="E189" s="137" t="s">
        <v>189</v>
      </c>
      <c r="F189" s="66"/>
    </row>
    <row r="190" spans="1:6" ht="117" customHeight="1" x14ac:dyDescent="0.3">
      <c r="A190" s="87" t="s">
        <v>1</v>
      </c>
      <c r="B190" s="100" t="s">
        <v>422</v>
      </c>
      <c r="C190" s="139" t="s">
        <v>360</v>
      </c>
      <c r="D190" s="93"/>
      <c r="E190" s="139" t="s">
        <v>639</v>
      </c>
      <c r="F190" s="67" t="s">
        <v>77</v>
      </c>
    </row>
    <row r="191" spans="1:6" ht="101.1" customHeight="1" x14ac:dyDescent="0.3">
      <c r="A191" s="87" t="s">
        <v>1</v>
      </c>
      <c r="B191" s="100" t="s">
        <v>422</v>
      </c>
      <c r="C191" s="137" t="s">
        <v>305</v>
      </c>
      <c r="D191" s="84"/>
      <c r="E191" s="137" t="s">
        <v>206</v>
      </c>
      <c r="F191" s="67" t="s">
        <v>304</v>
      </c>
    </row>
    <row r="192" spans="1:6" ht="108.9" customHeight="1" x14ac:dyDescent="0.3">
      <c r="A192" s="87" t="s">
        <v>1</v>
      </c>
      <c r="B192" s="100" t="s">
        <v>422</v>
      </c>
      <c r="C192" s="137" t="s">
        <v>112</v>
      </c>
      <c r="D192" s="84"/>
      <c r="E192" s="137" t="s">
        <v>206</v>
      </c>
      <c r="F192" s="67" t="s">
        <v>72</v>
      </c>
    </row>
    <row r="193" spans="1:6" ht="23.1" customHeight="1" x14ac:dyDescent="0.3">
      <c r="F193" s="50"/>
    </row>
    <row r="194" spans="1:6" ht="141.9" customHeight="1" x14ac:dyDescent="0.3">
      <c r="A194" s="118" t="s">
        <v>321</v>
      </c>
      <c r="E194" s="121"/>
      <c r="F194" s="50"/>
    </row>
    <row r="195" spans="1:6" ht="45.9" customHeight="1" x14ac:dyDescent="0.3">
      <c r="A195" s="90" t="s">
        <v>118</v>
      </c>
      <c r="B195" s="156" t="s">
        <v>78</v>
      </c>
      <c r="E195" s="121"/>
      <c r="F195" s="50"/>
    </row>
    <row r="196" spans="1:6" ht="66" customHeight="1" x14ac:dyDescent="0.3">
      <c r="A196" s="90" t="s">
        <v>118</v>
      </c>
      <c r="B196" s="134" t="s">
        <v>423</v>
      </c>
      <c r="C196" s="118" t="s">
        <v>79</v>
      </c>
      <c r="D196" s="84"/>
      <c r="E196" s="118" t="s">
        <v>210</v>
      </c>
    </row>
    <row r="197" spans="1:6" ht="68.099999999999994" customHeight="1" x14ac:dyDescent="0.3">
      <c r="A197" s="90" t="s">
        <v>118</v>
      </c>
      <c r="B197" s="134" t="s">
        <v>423</v>
      </c>
      <c r="C197" s="118" t="s">
        <v>80</v>
      </c>
      <c r="D197" s="84"/>
      <c r="E197" s="118" t="s">
        <v>7</v>
      </c>
    </row>
    <row r="198" spans="1:6" ht="75.900000000000006" customHeight="1" x14ac:dyDescent="0.3">
      <c r="A198" s="90" t="s">
        <v>118</v>
      </c>
      <c r="B198" s="120" t="s">
        <v>142</v>
      </c>
      <c r="C198" s="115"/>
      <c r="D198" s="115"/>
      <c r="E198" s="121"/>
      <c r="F198" s="48"/>
    </row>
    <row r="199" spans="1:6" ht="62.1" customHeight="1" x14ac:dyDescent="0.3">
      <c r="A199" s="90" t="s">
        <v>118</v>
      </c>
      <c r="B199" s="84" t="s">
        <v>424</v>
      </c>
      <c r="C199" s="118" t="s">
        <v>83</v>
      </c>
      <c r="D199" s="84"/>
      <c r="E199" s="118" t="s">
        <v>84</v>
      </c>
      <c r="F199" s="55" t="s">
        <v>122</v>
      </c>
    </row>
    <row r="200" spans="1:6" ht="86.1" customHeight="1" x14ac:dyDescent="0.3">
      <c r="A200" s="90" t="s">
        <v>118</v>
      </c>
      <c r="B200" s="84" t="s">
        <v>424</v>
      </c>
      <c r="C200" s="118" t="s">
        <v>307</v>
      </c>
      <c r="D200" s="84"/>
      <c r="E200" s="118" t="s">
        <v>7</v>
      </c>
      <c r="F200" s="55" t="s">
        <v>141</v>
      </c>
    </row>
    <row r="201" spans="1:6" ht="59.1" customHeight="1" x14ac:dyDescent="0.3">
      <c r="A201" s="90" t="s">
        <v>118</v>
      </c>
      <c r="B201" s="157" t="s">
        <v>81</v>
      </c>
      <c r="C201" s="158"/>
      <c r="D201" s="158"/>
      <c r="E201" s="121"/>
      <c r="F201" s="48"/>
    </row>
    <row r="202" spans="1:6" ht="38.1" customHeight="1" x14ac:dyDescent="0.3">
      <c r="A202" s="90" t="s">
        <v>118</v>
      </c>
      <c r="B202" s="158" t="s">
        <v>425</v>
      </c>
      <c r="C202" s="159" t="s">
        <v>361</v>
      </c>
      <c r="D202" s="160"/>
      <c r="E202" s="118" t="s">
        <v>84</v>
      </c>
      <c r="F202" s="55" t="s">
        <v>123</v>
      </c>
    </row>
    <row r="203" spans="1:6" ht="60" customHeight="1" x14ac:dyDescent="0.3">
      <c r="A203" s="90" t="s">
        <v>118</v>
      </c>
      <c r="B203" s="158" t="s">
        <v>425</v>
      </c>
      <c r="C203" s="161" t="s">
        <v>85</v>
      </c>
      <c r="D203" s="160"/>
      <c r="E203" s="122" t="s">
        <v>7</v>
      </c>
      <c r="F203" s="55" t="s">
        <v>143</v>
      </c>
    </row>
    <row r="204" spans="1:6" ht="87.9" customHeight="1" x14ac:dyDescent="0.3">
      <c r="A204" s="90" t="s">
        <v>118</v>
      </c>
      <c r="B204" s="120" t="s">
        <v>113</v>
      </c>
      <c r="C204" s="85"/>
      <c r="D204" s="85"/>
      <c r="E204" s="85"/>
    </row>
    <row r="205" spans="1:6" ht="60.9" customHeight="1" x14ac:dyDescent="0.3">
      <c r="A205" s="90" t="s">
        <v>118</v>
      </c>
      <c r="B205" s="100" t="s">
        <v>426</v>
      </c>
      <c r="C205" s="118" t="s">
        <v>86</v>
      </c>
      <c r="D205" s="84"/>
      <c r="E205" s="118" t="s">
        <v>7</v>
      </c>
      <c r="F205" s="55" t="s">
        <v>87</v>
      </c>
    </row>
    <row r="206" spans="1:6" ht="63.9" customHeight="1" x14ac:dyDescent="0.3">
      <c r="A206" s="90" t="s">
        <v>118</v>
      </c>
      <c r="B206" s="96" t="s">
        <v>426</v>
      </c>
      <c r="C206" s="118" t="s">
        <v>88</v>
      </c>
      <c r="D206" s="84"/>
      <c r="E206" s="118" t="s">
        <v>89</v>
      </c>
      <c r="F206" s="55" t="s">
        <v>124</v>
      </c>
    </row>
    <row r="207" spans="1:6" ht="105.9" customHeight="1" x14ac:dyDescent="0.3">
      <c r="A207" s="90" t="s">
        <v>118</v>
      </c>
      <c r="B207" s="118" t="s">
        <v>137</v>
      </c>
      <c r="C207" s="84"/>
      <c r="D207" s="85"/>
      <c r="E207" s="118" t="s">
        <v>175</v>
      </c>
      <c r="F207" s="55" t="s">
        <v>82</v>
      </c>
    </row>
    <row r="208" spans="1:6" ht="33.9" customHeight="1" x14ac:dyDescent="0.3">
      <c r="A208" s="90"/>
      <c r="B208" s="84"/>
      <c r="C208" s="85"/>
      <c r="D208" s="85"/>
      <c r="E208" s="85"/>
    </row>
    <row r="209" spans="1:6" ht="113.1" customHeight="1" x14ac:dyDescent="0.3">
      <c r="A209" s="162" t="s">
        <v>140</v>
      </c>
      <c r="B209" s="84"/>
      <c r="C209" s="85"/>
      <c r="D209" s="85"/>
      <c r="E209" s="85"/>
    </row>
    <row r="210" spans="1:6" ht="51" customHeight="1" x14ac:dyDescent="0.3">
      <c r="A210" s="90" t="s">
        <v>139</v>
      </c>
      <c r="B210" s="163" t="s">
        <v>90</v>
      </c>
      <c r="C210" s="85"/>
      <c r="D210" s="84"/>
      <c r="E210" s="163" t="s">
        <v>7</v>
      </c>
      <c r="F210" s="68" t="s">
        <v>91</v>
      </c>
    </row>
    <row r="211" spans="1:6" ht="48" customHeight="1" x14ac:dyDescent="0.3">
      <c r="A211" s="90" t="s">
        <v>139</v>
      </c>
      <c r="B211" s="163" t="s">
        <v>92</v>
      </c>
      <c r="C211" s="85"/>
      <c r="D211" s="84"/>
      <c r="E211" s="163" t="s">
        <v>93</v>
      </c>
      <c r="F211" s="68" t="s">
        <v>138</v>
      </c>
    </row>
    <row r="212" spans="1:6" ht="87.9" customHeight="1" x14ac:dyDescent="0.3">
      <c r="A212" s="90" t="s">
        <v>139</v>
      </c>
      <c r="B212" s="164" t="s">
        <v>362</v>
      </c>
      <c r="C212" s="85"/>
      <c r="D212" s="93"/>
      <c r="E212" s="164" t="s">
        <v>45</v>
      </c>
    </row>
    <row r="213" spans="1:6" ht="36.9" customHeight="1" x14ac:dyDescent="0.3">
      <c r="A213" s="90"/>
      <c r="C213" s="93"/>
      <c r="D213" s="93"/>
      <c r="E213" s="93"/>
    </row>
    <row r="214" spans="1:6" ht="87.9" customHeight="1" x14ac:dyDescent="0.3">
      <c r="A214" s="165" t="s">
        <v>368</v>
      </c>
      <c r="B214" s="166" t="s">
        <v>382</v>
      </c>
      <c r="C214" s="93"/>
      <c r="D214" s="93"/>
      <c r="E214" s="93"/>
    </row>
    <row r="215" spans="1:6" ht="87.9" customHeight="1" x14ac:dyDescent="0.3">
      <c r="A215" s="90" t="s">
        <v>366</v>
      </c>
      <c r="B215" s="100" t="s">
        <v>427</v>
      </c>
      <c r="C215" s="167" t="s">
        <v>610</v>
      </c>
      <c r="D215" s="93"/>
      <c r="E215" s="167" t="s">
        <v>7</v>
      </c>
      <c r="F215" s="69" t="s">
        <v>367</v>
      </c>
    </row>
    <row r="216" spans="1:6" ht="87.9" customHeight="1" x14ac:dyDescent="0.3">
      <c r="A216" s="90" t="s">
        <v>366</v>
      </c>
      <c r="B216" s="134" t="s">
        <v>427</v>
      </c>
      <c r="C216" s="167" t="s">
        <v>374</v>
      </c>
      <c r="D216" s="93"/>
      <c r="E216" s="167" t="s">
        <v>45</v>
      </c>
      <c r="F216" s="50"/>
    </row>
    <row r="217" spans="1:6" ht="63.9" customHeight="1" x14ac:dyDescent="0.3">
      <c r="A217" s="90" t="s">
        <v>366</v>
      </c>
      <c r="B217" s="168" t="s">
        <v>373</v>
      </c>
      <c r="C217" s="93"/>
      <c r="D217" s="93"/>
      <c r="E217" s="93"/>
    </row>
    <row r="218" spans="1:6" ht="77.099999999999994" customHeight="1" x14ac:dyDescent="0.3">
      <c r="A218" s="90" t="s">
        <v>366</v>
      </c>
      <c r="B218" s="134" t="s">
        <v>428</v>
      </c>
      <c r="C218" s="167" t="s">
        <v>369</v>
      </c>
      <c r="D218" s="93"/>
      <c r="E218" s="93"/>
      <c r="F218" s="50"/>
    </row>
    <row r="219" spans="1:6" ht="59.1" customHeight="1" x14ac:dyDescent="0.3">
      <c r="A219" s="90" t="s">
        <v>366</v>
      </c>
      <c r="B219" s="134" t="s">
        <v>428</v>
      </c>
      <c r="C219" s="167" t="s">
        <v>370</v>
      </c>
      <c r="D219" s="93"/>
      <c r="E219" s="93"/>
    </row>
    <row r="220" spans="1:6" ht="50.1" customHeight="1" x14ac:dyDescent="0.3">
      <c r="A220" s="169" t="s">
        <v>366</v>
      </c>
      <c r="B220" s="134" t="s">
        <v>428</v>
      </c>
      <c r="C220" s="170" t="s">
        <v>371</v>
      </c>
    </row>
    <row r="221" spans="1:6" ht="90.9" customHeight="1" x14ac:dyDescent="0.3">
      <c r="A221" s="169" t="s">
        <v>366</v>
      </c>
      <c r="B221" s="134" t="s">
        <v>428</v>
      </c>
      <c r="C221" s="170" t="s">
        <v>372</v>
      </c>
    </row>
    <row r="222" spans="1:6" ht="92.1" customHeight="1" x14ac:dyDescent="0.3">
      <c r="A222" s="169" t="s">
        <v>366</v>
      </c>
      <c r="B222" s="134" t="s">
        <v>428</v>
      </c>
      <c r="C222" s="170" t="s">
        <v>375</v>
      </c>
    </row>
    <row r="223" spans="1:6" ht="35.1" customHeight="1" x14ac:dyDescent="0.3">
      <c r="C223" s="100"/>
    </row>
    <row r="224" spans="1:6" ht="138" customHeight="1" x14ac:dyDescent="0.3">
      <c r="A224" s="171" t="s">
        <v>363</v>
      </c>
      <c r="B224" s="85"/>
      <c r="C224" s="85"/>
      <c r="D224" s="84"/>
      <c r="E224" s="172" t="s">
        <v>7</v>
      </c>
      <c r="F224" s="70" t="s">
        <v>306</v>
      </c>
    </row>
    <row r="225" spans="1:8" s="51" customFormat="1" ht="36" customHeight="1" x14ac:dyDescent="0.3">
      <c r="A225" s="84"/>
      <c r="B225" s="85"/>
      <c r="C225" s="85"/>
      <c r="D225" s="84"/>
      <c r="E225" s="85"/>
      <c r="F225" s="52"/>
      <c r="G225" s="187"/>
      <c r="H225" s="187"/>
    </row>
    <row r="226" spans="1:8" ht="123.9" customHeight="1" x14ac:dyDescent="0.3">
      <c r="A226" s="173" t="s">
        <v>364</v>
      </c>
      <c r="B226" s="85"/>
      <c r="C226" s="85"/>
      <c r="D226" s="84"/>
      <c r="E226" s="174" t="s">
        <v>96</v>
      </c>
      <c r="F226" s="71" t="s">
        <v>147</v>
      </c>
    </row>
    <row r="228" spans="1:8" s="49" customFormat="1" ht="39" customHeight="1" x14ac:dyDescent="0.2">
      <c r="A228" s="96"/>
      <c r="B228" s="96"/>
      <c r="C228" s="96"/>
      <c r="D228" s="96"/>
      <c r="E228" s="96"/>
      <c r="F228" s="47"/>
      <c r="G228" s="186"/>
      <c r="H228" s="186"/>
    </row>
    <row r="229" spans="1:8" s="49" customFormat="1" ht="39" customHeight="1" x14ac:dyDescent="0.2">
      <c r="A229" s="175"/>
      <c r="B229" s="96"/>
      <c r="C229" s="96"/>
      <c r="D229" s="96"/>
      <c r="E229" s="96"/>
      <c r="F229" s="47"/>
      <c r="G229" s="186"/>
      <c r="H229" s="186"/>
    </row>
    <row r="230" spans="1:8" s="49" customFormat="1" ht="39" customHeight="1" x14ac:dyDescent="0.2">
      <c r="A230" s="96"/>
      <c r="B230" s="101"/>
      <c r="C230" s="176"/>
      <c r="D230" s="96"/>
      <c r="E230" s="96"/>
      <c r="F230" s="47"/>
      <c r="G230" s="186"/>
      <c r="H230" s="186"/>
    </row>
    <row r="231" spans="1:8" s="49" customFormat="1" ht="39" customHeight="1" x14ac:dyDescent="0.2">
      <c r="A231" s="96"/>
      <c r="B231" s="107"/>
      <c r="C231" s="177"/>
      <c r="D231" s="96"/>
      <c r="E231" s="96"/>
      <c r="F231" s="47"/>
      <c r="G231" s="186"/>
      <c r="H231" s="186"/>
    </row>
    <row r="232" spans="1:8" s="49" customFormat="1" ht="39" customHeight="1" x14ac:dyDescent="0.2">
      <c r="A232" s="96"/>
      <c r="B232" s="107"/>
      <c r="C232" s="178"/>
      <c r="D232" s="96"/>
      <c r="E232" s="96"/>
      <c r="F232" s="47"/>
      <c r="G232" s="186"/>
      <c r="H232" s="186"/>
    </row>
    <row r="233" spans="1:8" s="49" customFormat="1" ht="39" customHeight="1" x14ac:dyDescent="0.2">
      <c r="A233" s="96"/>
      <c r="B233" s="179"/>
      <c r="C233" s="176"/>
      <c r="D233" s="96"/>
      <c r="E233" s="96"/>
      <c r="F233" s="47"/>
      <c r="G233" s="186"/>
      <c r="H233" s="186"/>
    </row>
    <row r="234" spans="1:8" s="49" customFormat="1" ht="39" customHeight="1" x14ac:dyDescent="0.2">
      <c r="A234" s="96"/>
      <c r="B234" s="107"/>
      <c r="C234" s="178"/>
      <c r="D234" s="180"/>
      <c r="E234" s="96"/>
      <c r="F234" s="47"/>
      <c r="G234" s="186"/>
      <c r="H234" s="186"/>
    </row>
    <row r="235" spans="1:8" s="49" customFormat="1" ht="39" customHeight="1" x14ac:dyDescent="0.2">
      <c r="A235" s="96"/>
      <c r="B235" s="107"/>
      <c r="C235" s="179"/>
      <c r="D235" s="96"/>
      <c r="E235" s="96"/>
      <c r="F235" s="47"/>
      <c r="G235" s="186"/>
      <c r="H235" s="186"/>
    </row>
    <row r="236" spans="1:8" x14ac:dyDescent="0.3">
      <c r="B236" s="107"/>
      <c r="C236" s="176"/>
    </row>
    <row r="237" spans="1:8" s="72" customFormat="1" x14ac:dyDescent="0.3">
      <c r="A237" s="96"/>
      <c r="B237" s="107"/>
      <c r="C237" s="176"/>
      <c r="D237" s="96"/>
      <c r="E237" s="96"/>
      <c r="F237" s="47"/>
      <c r="G237" s="190"/>
      <c r="H237" s="190"/>
    </row>
    <row r="238" spans="1:8" s="72" customFormat="1" x14ac:dyDescent="0.3">
      <c r="A238" s="96"/>
      <c r="B238" s="107"/>
      <c r="C238" s="176"/>
      <c r="D238" s="96"/>
      <c r="E238" s="96"/>
      <c r="F238" s="47"/>
      <c r="G238" s="190"/>
      <c r="H238" s="190"/>
    </row>
    <row r="239" spans="1:8" s="72" customFormat="1" x14ac:dyDescent="0.3">
      <c r="A239" s="96"/>
      <c r="B239" s="96"/>
      <c r="C239" s="181"/>
      <c r="D239" s="96"/>
      <c r="E239" s="96"/>
      <c r="F239" s="47"/>
      <c r="G239" s="190"/>
      <c r="H239" s="190"/>
    </row>
    <row r="240" spans="1:8" s="72" customFormat="1" x14ac:dyDescent="0.3">
      <c r="A240" s="96"/>
      <c r="B240" s="96"/>
      <c r="C240" s="96"/>
      <c r="D240" s="96"/>
      <c r="E240" s="96"/>
      <c r="F240" s="47"/>
      <c r="G240" s="190"/>
      <c r="H240" s="190"/>
    </row>
    <row r="241" spans="1:8" s="72" customFormat="1" x14ac:dyDescent="0.3">
      <c r="A241" s="96"/>
      <c r="B241" s="96"/>
      <c r="C241" s="96"/>
      <c r="D241" s="96"/>
      <c r="E241" s="96"/>
      <c r="F241" s="47"/>
      <c r="G241" s="190"/>
      <c r="H241" s="190"/>
    </row>
    <row r="242" spans="1:8" s="72" customFormat="1" x14ac:dyDescent="0.3">
      <c r="A242" s="96"/>
      <c r="B242" s="96"/>
      <c r="C242" s="96"/>
      <c r="D242" s="96"/>
      <c r="E242" s="96"/>
      <c r="F242" s="47"/>
      <c r="G242" s="190"/>
      <c r="H242" s="190"/>
    </row>
    <row r="243" spans="1:8" s="72" customFormat="1" x14ac:dyDescent="0.3">
      <c r="A243" s="96"/>
      <c r="B243" s="96"/>
      <c r="C243" s="96"/>
      <c r="D243" s="96"/>
      <c r="E243" s="96"/>
      <c r="F243" s="47"/>
      <c r="G243" s="190"/>
      <c r="H243" s="190"/>
    </row>
    <row r="244" spans="1:8" s="72" customFormat="1" x14ac:dyDescent="0.3">
      <c r="A244" s="96"/>
      <c r="B244" s="96"/>
      <c r="C244" s="96"/>
      <c r="D244" s="96"/>
      <c r="E244" s="96"/>
      <c r="F244" s="47"/>
      <c r="G244" s="190"/>
      <c r="H244" s="190"/>
    </row>
    <row r="245" spans="1:8" s="72" customFormat="1" x14ac:dyDescent="0.3">
      <c r="A245" s="96"/>
      <c r="B245" s="96"/>
      <c r="C245" s="96"/>
      <c r="D245" s="96"/>
      <c r="E245" s="96"/>
      <c r="F245" s="47"/>
      <c r="G245" s="190"/>
      <c r="H245" s="190"/>
    </row>
    <row r="246" spans="1:8" s="72" customFormat="1" x14ac:dyDescent="0.3">
      <c r="A246" s="96"/>
      <c r="B246" s="96"/>
      <c r="C246" s="96"/>
      <c r="D246" s="96"/>
      <c r="E246" s="96"/>
      <c r="F246" s="47"/>
      <c r="G246" s="190"/>
      <c r="H246" s="190"/>
    </row>
    <row r="247" spans="1:8" s="72" customFormat="1" x14ac:dyDescent="0.3">
      <c r="A247" s="96"/>
      <c r="B247" s="96"/>
      <c r="C247" s="96"/>
      <c r="D247" s="96"/>
      <c r="E247" s="96"/>
      <c r="F247" s="47"/>
      <c r="G247" s="190"/>
      <c r="H247" s="190"/>
    </row>
    <row r="248" spans="1:8" s="72" customFormat="1" x14ac:dyDescent="0.3">
      <c r="A248" s="96"/>
      <c r="B248" s="96"/>
      <c r="C248" s="96"/>
      <c r="D248" s="96"/>
      <c r="E248" s="96"/>
      <c r="F248" s="47"/>
      <c r="G248" s="190"/>
      <c r="H248" s="190"/>
    </row>
    <row r="249" spans="1:8" s="72" customFormat="1" x14ac:dyDescent="0.3">
      <c r="A249" s="96"/>
      <c r="B249" s="96"/>
      <c r="C249" s="96"/>
      <c r="D249" s="96"/>
      <c r="E249" s="96"/>
      <c r="F249" s="47"/>
      <c r="G249" s="190"/>
      <c r="H249" s="190"/>
    </row>
    <row r="250" spans="1:8" s="72" customFormat="1" x14ac:dyDescent="0.3">
      <c r="A250" s="96"/>
      <c r="B250" s="96"/>
      <c r="C250" s="96"/>
      <c r="D250" s="96"/>
      <c r="E250" s="96"/>
      <c r="F250" s="47"/>
      <c r="G250" s="190"/>
      <c r="H250" s="190"/>
    </row>
    <row r="251" spans="1:8" s="72" customFormat="1" x14ac:dyDescent="0.3">
      <c r="A251" s="96"/>
      <c r="B251" s="96"/>
      <c r="C251" s="96"/>
      <c r="D251" s="96"/>
      <c r="E251" s="96"/>
      <c r="F251" s="47"/>
      <c r="G251" s="190"/>
      <c r="H251" s="190"/>
    </row>
    <row r="252" spans="1:8" s="72" customFormat="1" x14ac:dyDescent="0.3">
      <c r="A252" s="96"/>
      <c r="B252" s="96"/>
      <c r="C252" s="96"/>
      <c r="D252" s="96"/>
      <c r="E252" s="96"/>
      <c r="F252" s="47"/>
      <c r="G252" s="190"/>
      <c r="H252" s="190"/>
    </row>
    <row r="253" spans="1:8" s="72" customFormat="1" x14ac:dyDescent="0.3">
      <c r="A253" s="96"/>
      <c r="B253" s="96"/>
      <c r="C253" s="96"/>
      <c r="D253" s="96"/>
      <c r="E253" s="96"/>
      <c r="F253" s="47"/>
      <c r="G253" s="190"/>
      <c r="H253" s="190"/>
    </row>
    <row r="254" spans="1:8" s="72" customFormat="1" x14ac:dyDescent="0.3">
      <c r="A254" s="96"/>
      <c r="B254" s="96"/>
      <c r="C254" s="96"/>
      <c r="D254" s="96"/>
      <c r="E254" s="96"/>
      <c r="F254" s="47"/>
      <c r="G254" s="190"/>
      <c r="H254" s="190"/>
    </row>
    <row r="255" spans="1:8" s="72" customFormat="1" x14ac:dyDescent="0.3">
      <c r="A255" s="96"/>
      <c r="B255" s="96"/>
      <c r="C255" s="96"/>
      <c r="D255" s="96"/>
      <c r="E255" s="96"/>
      <c r="F255" s="47"/>
      <c r="G255" s="190"/>
      <c r="H255" s="190"/>
    </row>
    <row r="256" spans="1:8" s="72" customFormat="1" x14ac:dyDescent="0.3">
      <c r="A256" s="96"/>
      <c r="B256" s="96"/>
      <c r="C256" s="96"/>
      <c r="D256" s="96"/>
      <c r="E256" s="96"/>
      <c r="F256" s="47"/>
      <c r="G256" s="190"/>
      <c r="H256" s="190"/>
    </row>
    <row r="257" spans="1:8" s="72" customFormat="1" x14ac:dyDescent="0.3">
      <c r="A257" s="96"/>
      <c r="B257" s="96"/>
      <c r="C257" s="96"/>
      <c r="D257" s="96"/>
      <c r="E257" s="96"/>
      <c r="F257" s="47"/>
      <c r="G257" s="190"/>
      <c r="H257" s="190"/>
    </row>
    <row r="258" spans="1:8" s="72" customFormat="1" x14ac:dyDescent="0.3">
      <c r="A258" s="96"/>
      <c r="B258" s="96"/>
      <c r="C258" s="96"/>
      <c r="D258" s="96"/>
      <c r="E258" s="96"/>
      <c r="F258" s="47"/>
      <c r="G258" s="190"/>
      <c r="H258" s="190"/>
    </row>
    <row r="259" spans="1:8" s="72" customFormat="1" x14ac:dyDescent="0.3">
      <c r="A259" s="96"/>
      <c r="B259" s="96"/>
      <c r="C259" s="96"/>
      <c r="D259" s="96"/>
      <c r="E259" s="96"/>
      <c r="F259" s="47"/>
      <c r="G259" s="190"/>
      <c r="H259" s="190"/>
    </row>
    <row r="260" spans="1:8" s="72" customFormat="1" x14ac:dyDescent="0.3">
      <c r="A260" s="96"/>
      <c r="B260" s="96"/>
      <c r="C260" s="96"/>
      <c r="D260" s="96"/>
      <c r="E260" s="96"/>
      <c r="F260" s="47"/>
      <c r="G260" s="190"/>
      <c r="H260" s="190"/>
    </row>
    <row r="261" spans="1:8" s="72" customFormat="1" x14ac:dyDescent="0.3">
      <c r="A261" s="96"/>
      <c r="B261" s="96"/>
      <c r="C261" s="96"/>
      <c r="D261" s="96"/>
      <c r="E261" s="96"/>
      <c r="F261" s="47"/>
      <c r="G261" s="190"/>
      <c r="H261" s="190"/>
    </row>
    <row r="262" spans="1:8" s="72" customFormat="1" x14ac:dyDescent="0.3">
      <c r="A262" s="96"/>
      <c r="B262" s="96"/>
      <c r="C262" s="96"/>
      <c r="D262" s="96"/>
      <c r="E262" s="96"/>
      <c r="F262" s="47"/>
      <c r="G262" s="190"/>
      <c r="H262" s="190"/>
    </row>
    <row r="263" spans="1:8" s="72" customFormat="1" x14ac:dyDescent="0.3">
      <c r="A263" s="96"/>
      <c r="B263" s="96"/>
      <c r="C263" s="96"/>
      <c r="D263" s="96"/>
      <c r="E263" s="96"/>
      <c r="F263" s="47"/>
      <c r="G263" s="190"/>
      <c r="H263" s="190"/>
    </row>
    <row r="264" spans="1:8" s="72" customFormat="1" x14ac:dyDescent="0.3">
      <c r="A264" s="96"/>
      <c r="B264" s="96"/>
      <c r="C264" s="96"/>
      <c r="D264" s="96"/>
      <c r="E264" s="96"/>
      <c r="F264" s="47"/>
      <c r="G264" s="190"/>
      <c r="H264" s="190"/>
    </row>
    <row r="265" spans="1:8" s="72" customFormat="1" x14ac:dyDescent="0.3">
      <c r="A265" s="96"/>
      <c r="B265" s="96"/>
      <c r="C265" s="96"/>
      <c r="D265" s="96"/>
      <c r="E265" s="96"/>
      <c r="F265" s="47"/>
      <c r="G265" s="190"/>
      <c r="H265" s="190"/>
    </row>
    <row r="266" spans="1:8" s="72" customFormat="1" x14ac:dyDescent="0.3">
      <c r="A266" s="96"/>
      <c r="B266" s="96"/>
      <c r="C266" s="96"/>
      <c r="D266" s="96"/>
      <c r="E266" s="96"/>
      <c r="F266" s="47"/>
      <c r="G266" s="190"/>
      <c r="H266" s="190"/>
    </row>
    <row r="267" spans="1:8" s="72" customFormat="1" x14ac:dyDescent="0.3">
      <c r="A267" s="96"/>
      <c r="B267" s="96"/>
      <c r="C267" s="96"/>
      <c r="D267" s="96"/>
      <c r="E267" s="96"/>
      <c r="F267" s="47"/>
      <c r="G267" s="190"/>
      <c r="H267" s="190"/>
    </row>
    <row r="268" spans="1:8" s="72" customFormat="1" x14ac:dyDescent="0.3">
      <c r="A268" s="96"/>
      <c r="B268" s="96"/>
      <c r="C268" s="96"/>
      <c r="D268" s="96"/>
      <c r="E268" s="96"/>
      <c r="F268" s="47"/>
      <c r="G268" s="190"/>
      <c r="H268" s="190"/>
    </row>
    <row r="269" spans="1:8" s="72" customFormat="1" x14ac:dyDescent="0.3">
      <c r="A269" s="96"/>
      <c r="B269" s="96"/>
      <c r="C269" s="96"/>
      <c r="D269" s="96"/>
      <c r="E269" s="96"/>
      <c r="F269" s="47"/>
      <c r="G269" s="190"/>
      <c r="H269" s="190"/>
    </row>
    <row r="270" spans="1:8" s="72" customFormat="1" x14ac:dyDescent="0.3">
      <c r="A270" s="96"/>
      <c r="B270" s="96"/>
      <c r="C270" s="96"/>
      <c r="D270" s="96"/>
      <c r="E270" s="96"/>
      <c r="F270" s="47"/>
      <c r="G270" s="190"/>
      <c r="H270" s="190"/>
    </row>
    <row r="271" spans="1:8" s="72" customFormat="1" x14ac:dyDescent="0.3">
      <c r="A271" s="96"/>
      <c r="B271" s="96"/>
      <c r="C271" s="96"/>
      <c r="D271" s="96"/>
      <c r="E271" s="96"/>
      <c r="F271" s="47"/>
      <c r="G271" s="190"/>
      <c r="H271" s="190"/>
    </row>
    <row r="272" spans="1:8" s="72" customFormat="1" x14ac:dyDescent="0.3">
      <c r="A272" s="96"/>
      <c r="B272" s="96"/>
      <c r="C272" s="96"/>
      <c r="D272" s="96"/>
      <c r="E272" s="96"/>
      <c r="F272" s="47"/>
      <c r="G272" s="190"/>
      <c r="H272" s="190"/>
    </row>
    <row r="273" spans="1:8" s="72" customFormat="1" x14ac:dyDescent="0.3">
      <c r="A273" s="96"/>
      <c r="B273" s="96"/>
      <c r="C273" s="96"/>
      <c r="D273" s="96"/>
      <c r="E273" s="96"/>
      <c r="F273" s="47"/>
      <c r="G273" s="190"/>
      <c r="H273" s="190"/>
    </row>
    <row r="274" spans="1:8" s="72" customFormat="1" x14ac:dyDescent="0.3">
      <c r="A274" s="96"/>
      <c r="B274" s="96"/>
      <c r="C274" s="96"/>
      <c r="D274" s="96"/>
      <c r="E274" s="96"/>
      <c r="F274" s="47"/>
      <c r="G274" s="190"/>
      <c r="H274" s="190"/>
    </row>
    <row r="275" spans="1:8" s="72" customFormat="1" x14ac:dyDescent="0.3">
      <c r="A275" s="96"/>
      <c r="B275" s="96"/>
      <c r="C275" s="96"/>
      <c r="D275" s="96"/>
      <c r="E275" s="96"/>
      <c r="F275" s="47"/>
      <c r="G275" s="190"/>
      <c r="H275" s="190"/>
    </row>
    <row r="276" spans="1:8" s="72" customFormat="1" x14ac:dyDescent="0.3">
      <c r="A276" s="96"/>
      <c r="B276" s="96"/>
      <c r="C276" s="96"/>
      <c r="D276" s="96"/>
      <c r="E276" s="96"/>
      <c r="F276" s="47"/>
      <c r="G276" s="190"/>
      <c r="H276" s="190"/>
    </row>
    <row r="277" spans="1:8" s="72" customFormat="1" x14ac:dyDescent="0.3">
      <c r="A277" s="96"/>
      <c r="B277" s="96"/>
      <c r="C277" s="96"/>
      <c r="D277" s="96"/>
      <c r="E277" s="96"/>
      <c r="F277" s="47"/>
      <c r="G277" s="190"/>
      <c r="H277" s="190"/>
    </row>
    <row r="278" spans="1:8" s="72" customFormat="1" x14ac:dyDescent="0.3">
      <c r="A278" s="96"/>
      <c r="B278" s="96"/>
      <c r="C278" s="96"/>
      <c r="D278" s="96"/>
      <c r="E278" s="96"/>
      <c r="F278" s="47"/>
      <c r="G278" s="190"/>
      <c r="H278" s="190"/>
    </row>
    <row r="279" spans="1:8" s="72" customFormat="1" x14ac:dyDescent="0.3">
      <c r="A279" s="96"/>
      <c r="B279" s="96"/>
      <c r="C279" s="96"/>
      <c r="D279" s="96"/>
      <c r="E279" s="96"/>
      <c r="F279" s="47"/>
      <c r="G279" s="190"/>
      <c r="H279" s="190"/>
    </row>
    <row r="280" spans="1:8" s="72" customFormat="1" x14ac:dyDescent="0.3">
      <c r="A280" s="96"/>
      <c r="B280" s="96"/>
      <c r="C280" s="96"/>
      <c r="D280" s="96"/>
      <c r="E280" s="96"/>
      <c r="F280" s="47"/>
      <c r="G280" s="190"/>
      <c r="H280" s="190"/>
    </row>
    <row r="281" spans="1:8" s="72" customFormat="1" x14ac:dyDescent="0.3">
      <c r="A281" s="96"/>
      <c r="B281" s="96"/>
      <c r="C281" s="96"/>
      <c r="D281" s="96"/>
      <c r="E281" s="96"/>
      <c r="F281" s="47"/>
      <c r="G281" s="190"/>
      <c r="H281" s="190"/>
    </row>
    <row r="282" spans="1:8" s="72" customFormat="1" x14ac:dyDescent="0.3">
      <c r="A282" s="96"/>
      <c r="B282" s="96"/>
      <c r="C282" s="96"/>
      <c r="D282" s="96"/>
      <c r="E282" s="96"/>
      <c r="F282" s="47"/>
      <c r="G282" s="190"/>
      <c r="H282" s="190"/>
    </row>
    <row r="283" spans="1:8" s="72" customFormat="1" x14ac:dyDescent="0.3">
      <c r="A283" s="96"/>
      <c r="B283" s="96"/>
      <c r="C283" s="96"/>
      <c r="D283" s="96"/>
      <c r="E283" s="96"/>
      <c r="F283" s="47"/>
      <c r="G283" s="190"/>
      <c r="H283" s="190"/>
    </row>
    <row r="284" spans="1:8" s="72" customFormat="1" x14ac:dyDescent="0.3">
      <c r="A284" s="96"/>
      <c r="B284" s="96"/>
      <c r="C284" s="96"/>
      <c r="D284" s="96"/>
      <c r="E284" s="96"/>
      <c r="F284" s="47"/>
      <c r="G284" s="190"/>
      <c r="H284" s="190"/>
    </row>
    <row r="285" spans="1:8" s="72" customFormat="1" x14ac:dyDescent="0.3">
      <c r="A285" s="96"/>
      <c r="B285" s="96"/>
      <c r="C285" s="96"/>
      <c r="D285" s="96"/>
      <c r="E285" s="96"/>
      <c r="F285" s="47"/>
      <c r="G285" s="190"/>
      <c r="H285" s="190"/>
    </row>
    <row r="286" spans="1:8" s="72" customFormat="1" x14ac:dyDescent="0.3">
      <c r="A286" s="96"/>
      <c r="B286" s="96"/>
      <c r="C286" s="96"/>
      <c r="D286" s="96"/>
      <c r="E286" s="96"/>
      <c r="F286" s="47"/>
      <c r="G286" s="190"/>
      <c r="H286" s="190"/>
    </row>
    <row r="287" spans="1:8" s="72" customFormat="1" x14ac:dyDescent="0.3">
      <c r="A287" s="96"/>
      <c r="B287" s="96"/>
      <c r="C287" s="96"/>
      <c r="D287" s="96"/>
      <c r="E287" s="96"/>
      <c r="F287" s="47"/>
      <c r="G287" s="190"/>
      <c r="H287" s="190"/>
    </row>
  </sheetData>
  <sheetProtection algorithmName="SHA-512" hashValue="kmWLT+6C/sESDXrNlGXYOSKgsz60UUQsuAt8+rrBPvMgZwTlQUK7OCNp9/N9OaT1bAau2h9j5+pu3CQ1UisRxA==" saltValue="qMHZXyHA3m+0dl//w17hLQ==" spinCount="100000" sheet="1" objects="1" scenarios="1" formatCells="0" formatColumns="0" formatRows="0" sort="0" autoFilter="0"/>
  <protectedRanges>
    <protectedRange sqref="F1:H1048576" name="User editable"/>
  </protectedRanges>
  <autoFilter ref="A1:E287"/>
  <phoneticPr fontId="6" type="noConversion"/>
  <printOptions gridLines="1"/>
  <pageMargins left="0.2" right="0.2" top="0.79" bottom="0.59" header="0.5" footer="0.5"/>
  <pageSetup paperSize="9" orientation="landscape" horizontalDpi="4294967292" verticalDpi="4294967292" r:id="rId1"/>
  <headerFooter>
    <oddHeader>&amp;L&amp;"Calibri,Regular"&amp;K000000ASA RRDS-NGS v2.0</oddHeader>
    <oddFooter>&amp;R&amp;"Arial,Regular"&amp;9&amp;P</oddFooter>
  </headerFooter>
  <rowBreaks count="3" manualBreakCount="3">
    <brk id="121" max="16383" man="1"/>
    <brk id="169" max="16383" man="1"/>
    <brk id="193" max="16383" man="1"/>
  </rowBreaks>
  <extLst>
    <ext xmlns:mx="http://schemas.microsoft.com/office/mac/excel/2008/main" uri="{64002731-A6B0-56B0-2670-7721B7C09600}">
      <mx:PLV Mode="1"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219</vt:i4>
      </vt:variant>
    </vt:vector>
  </HeadingPairs>
  <TitlesOfParts>
    <vt:vector size="223" baseType="lpstr">
      <vt:lpstr>Documentation</vt:lpstr>
      <vt:lpstr>ToC</vt:lpstr>
      <vt:lpstr>Search</vt:lpstr>
      <vt:lpstr>RRDS-NGS</vt:lpstr>
      <vt:lpstr>ACCOUNTING</vt:lpstr>
      <vt:lpstr>ADMINISTRATION</vt:lpstr>
      <vt:lpstr>AGREEMENTS</vt:lpstr>
      <vt:lpstr>ALLOWANCES</vt:lpstr>
      <vt:lpstr>ARRANGEMENTS</vt:lpstr>
      <vt:lpstr>ASSETS</vt:lpstr>
      <vt:lpstr>AUDIT</vt:lpstr>
      <vt:lpstr>BANKING</vt:lpstr>
      <vt:lpstr>BAP_CON_MARR_FUN_MEM</vt:lpstr>
      <vt:lpstr>BREACHES</vt:lpstr>
      <vt:lpstr>BUDGETING</vt:lpstr>
      <vt:lpstr>CELEBRATIONS</vt:lpstr>
      <vt:lpstr>CHAP_PROG</vt:lpstr>
      <vt:lpstr>CHAP_PROG_EST</vt:lpstr>
      <vt:lpstr>CHAP_PROG_FUND</vt:lpstr>
      <vt:lpstr>CHAP_PROG_PAST</vt:lpstr>
      <vt:lpstr>CHAP_PROG_PUBS</vt:lpstr>
      <vt:lpstr>CIRC_EXT</vt:lpstr>
      <vt:lpstr>CIRC_INT</vt:lpstr>
      <vt:lpstr>CIRC_INTERNAL</vt:lpstr>
      <vt:lpstr>CIRCULARS</vt:lpstr>
      <vt:lpstr>CLAIMS</vt:lpstr>
      <vt:lpstr>COM_VIPS</vt:lpstr>
      <vt:lpstr>COM_VISITS</vt:lpstr>
      <vt:lpstr>COM_VISITS_ARR</vt:lpstr>
      <vt:lpstr>COMM_REL</vt:lpstr>
      <vt:lpstr>COMMUNICATIONS</vt:lpstr>
      <vt:lpstr>CONFERENCES</vt:lpstr>
      <vt:lpstr>CONSERVATION</vt:lpstr>
      <vt:lpstr>COUNSELLING</vt:lpstr>
      <vt:lpstr>DONATIONS</vt:lpstr>
      <vt:lpstr>EMPLYMENT_MAINTAINED</vt:lpstr>
      <vt:lpstr>EMPLYMENT_NOT_MAINTAINED</vt:lpstr>
      <vt:lpstr>ENQUIRIES</vt:lpstr>
      <vt:lpstr>ENTERPRISE_AGREEMENTS</vt:lpstr>
      <vt:lpstr>EPHEMERA</vt:lpstr>
      <vt:lpstr>EVALUATION</vt:lpstr>
      <vt:lpstr>EVENT</vt:lpstr>
      <vt:lpstr>FACILITY_HIRE</vt:lpstr>
      <vt:lpstr>FEES</vt:lpstr>
      <vt:lpstr>FINANCE</vt:lpstr>
      <vt:lpstr>FINANCIAL_RECORDS_ANNUAL</vt:lpstr>
      <vt:lpstr>FUNDING</vt:lpstr>
      <vt:lpstr>GOV_AGREE_CONT</vt:lpstr>
      <vt:lpstr>GOV_AGREE_REG</vt:lpstr>
      <vt:lpstr>GOV_CHILD_PROT</vt:lpstr>
      <vt:lpstr>GOV_COMP</vt:lpstr>
      <vt:lpstr>GOV_CONT_FAIL</vt:lpstr>
      <vt:lpstr>GOV_CONT_MAJOR</vt:lpstr>
      <vt:lpstr>GOV_CONT_MINOR</vt:lpstr>
      <vt:lpstr>GOV_CORP_IDENT</vt:lpstr>
      <vt:lpstr>GOV_COUNCIL_COMM</vt:lpstr>
      <vt:lpstr>GOV_DELEG</vt:lpstr>
      <vt:lpstr>GOV_ESTAB</vt:lpstr>
      <vt:lpstr>GOV_LEG_AD_MAJ</vt:lpstr>
      <vt:lpstr>GOV_LEG_ADV</vt:lpstr>
      <vt:lpstr>GOV_LEG_ADV_OTH</vt:lpstr>
      <vt:lpstr>GOV_LEG_LIT</vt:lpstr>
      <vt:lpstr>GOV_LEG_LIT_MAJ</vt:lpstr>
      <vt:lpstr>GOV_LEG_LIT_OTH</vt:lpstr>
      <vt:lpstr>GOV_LEG_SERV</vt:lpstr>
      <vt:lpstr>GOV_PLANNING</vt:lpstr>
      <vt:lpstr>GOV_POL</vt:lpstr>
      <vt:lpstr>GOV_REG</vt:lpstr>
      <vt:lpstr>GOV_REPORT</vt:lpstr>
      <vt:lpstr>GOV_SCHOOL_CLOS</vt:lpstr>
      <vt:lpstr>GOV_SUB</vt:lpstr>
      <vt:lpstr>GOVERNANCE</vt:lpstr>
      <vt:lpstr>HAZ_MAT</vt:lpstr>
      <vt:lpstr>HAZ_MAT_BUILD</vt:lpstr>
      <vt:lpstr>HAZ_MAT_NON_BUILD</vt:lpstr>
      <vt:lpstr>HAZ_MAT_NON_TOXIC</vt:lpstr>
      <vt:lpstr>HAZ_MAT_REG</vt:lpstr>
      <vt:lpstr>HUMAN_RESOURCES</vt:lpstr>
      <vt:lpstr>ICT</vt:lpstr>
      <vt:lpstr>ICT_ACQUISITION</vt:lpstr>
      <vt:lpstr>ICT_IMPLEMENTATION</vt:lpstr>
      <vt:lpstr>ICT_MANAGEMENT</vt:lpstr>
      <vt:lpstr>IM_STORAGE</vt:lpstr>
      <vt:lpstr>INFO_MANAGEMENT</vt:lpstr>
      <vt:lpstr>INSURANCE</vt:lpstr>
      <vt:lpstr>INTELLECTUAL_PROPERTY</vt:lpstr>
      <vt:lpstr>MASTER_RECORD</vt:lpstr>
      <vt:lpstr>OBJECTS</vt:lpstr>
      <vt:lpstr>OHS</vt:lpstr>
      <vt:lpstr>OHS_AUDIT</vt:lpstr>
      <vt:lpstr>OHS_COMPENSATION</vt:lpstr>
      <vt:lpstr>OHS_INCIDENTS</vt:lpstr>
      <vt:lpstr>POLICIES</vt:lpstr>
      <vt:lpstr>POSITIONS</vt:lpstr>
      <vt:lpstr>PRIVACY</vt:lpstr>
      <vt:lpstr>PRIVACY_COMPLAINTS</vt:lpstr>
      <vt:lpstr>PROPERTY</vt:lpstr>
      <vt:lpstr>PROPERTY_ACQ</vt:lpstr>
      <vt:lpstr>PROPERTY_CON</vt:lpstr>
      <vt:lpstr>PROPERTY_EQ</vt:lpstr>
      <vt:lpstr>PROPERTY_EQ_ACQ</vt:lpstr>
      <vt:lpstr>PROPERTY_EQ_DISP</vt:lpstr>
      <vt:lpstr>PROPERTY_EQ_MAINT</vt:lpstr>
      <vt:lpstr>PROPERTY_MAIN</vt:lpstr>
      <vt:lpstr>PROPERTY_REFURB</vt:lpstr>
      <vt:lpstr>PROPERTY_SECUITY</vt:lpstr>
      <vt:lpstr>PROPERTY_SECURITY</vt:lpstr>
      <vt:lpstr>PUB_PROD</vt:lpstr>
      <vt:lpstr>PUB_PUB</vt:lpstr>
      <vt:lpstr>PUBS</vt:lpstr>
      <vt:lpstr>RECORD_KEEPING</vt:lpstr>
      <vt:lpstr>RECORDKEEPING_CONTROLS</vt:lpstr>
      <vt:lpstr>RECRUITEMENT_PROCESS</vt:lpstr>
      <vt:lpstr>RECRUITMENT</vt:lpstr>
      <vt:lpstr>REFERENCE_SERVICES</vt:lpstr>
      <vt:lpstr>REGISTER</vt:lpstr>
      <vt:lpstr>ROSTERING</vt:lpstr>
      <vt:lpstr>SALARIES</vt:lpstr>
      <vt:lpstr>SCH_REL_GROUP_ACT</vt:lpstr>
      <vt:lpstr>SCH_REL_GROUP_GOV</vt:lpstr>
      <vt:lpstr>SCH_REL_GROUP_MEM</vt:lpstr>
      <vt:lpstr>SCH_REL_GROUPS</vt:lpstr>
      <vt:lpstr>SECURITY_CHECKS</vt:lpstr>
      <vt:lpstr>SPIRIT_PROG</vt:lpstr>
      <vt:lpstr>SPIRIT_REL_CER</vt:lpstr>
      <vt:lpstr>SPIRIT_REL_CER_ARR</vt:lpstr>
      <vt:lpstr>STAFF_DEVELOPMENT</vt:lpstr>
      <vt:lpstr>STAFF_HISTORY</vt:lpstr>
      <vt:lpstr>STAFFF_DEVELOPMENT</vt:lpstr>
      <vt:lpstr>STUD_MAN</vt:lpstr>
      <vt:lpstr>STUD_MAN_ADM</vt:lpstr>
      <vt:lpstr>STUD_MAN_ADM_DEPART</vt:lpstr>
      <vt:lpstr>STUD_MAN_ADM_NOTSUC</vt:lpstr>
      <vt:lpstr>STUD_MAN_ADM_SUCC</vt:lpstr>
      <vt:lpstr>STUD_MAN_ADM_SUMM</vt:lpstr>
      <vt:lpstr>STUD_MAN_ATTEND</vt:lpstr>
      <vt:lpstr>STUD_MAN_AWARD</vt:lpstr>
      <vt:lpstr>STUD_MAN_AWARD_EST</vt:lpstr>
      <vt:lpstr>STUD_MAN_AWARD_INDI</vt:lpstr>
      <vt:lpstr>STUD_MAN_AWARD_SUMM</vt:lpstr>
      <vt:lpstr>STUD_MAN_BEHAV</vt:lpstr>
      <vt:lpstr>STUD_MAN_BEHAV_ROUT_EV</vt:lpstr>
      <vt:lpstr>STUD_MAN_BEHAV_SIG_EV</vt:lpstr>
      <vt:lpstr>STUD_MAN_CHILD_PROT</vt:lpstr>
      <vt:lpstr>STUD_MAN_CHILD_PROT_CASES</vt:lpstr>
      <vt:lpstr>STUD_MAN_CHILD_PROT_HOST</vt:lpstr>
      <vt:lpstr>STUD_MAN_COCURR</vt:lpstr>
      <vt:lpstr>STUD_MAN_COCURR_ARTS</vt:lpstr>
      <vt:lpstr>STUD_MAN_COCURR_ARTS_ARR</vt:lpstr>
      <vt:lpstr>STUD_MAN_COCURR_ARTS_STUD_PART</vt:lpstr>
      <vt:lpstr>STUD_MAN_COCURR_EST</vt:lpstr>
      <vt:lpstr>STUD_MAN_COCURR_EXC</vt:lpstr>
      <vt:lpstr>STUD_MAN_COCURR_EXC_ARR</vt:lpstr>
      <vt:lpstr>STUD_MAN_COCURR_EXC_STUD_PART</vt:lpstr>
      <vt:lpstr>STUD_MAN_COCURR_HOUSE</vt:lpstr>
      <vt:lpstr>STUD_MAN_COCURR_SER_LEARN</vt:lpstr>
      <vt:lpstr>STUD_MAN_COCURR_SER_LEARN_ARR</vt:lpstr>
      <vt:lpstr>STUD_MAN_COCURR_SER_LEARN_STUD_PART</vt:lpstr>
      <vt:lpstr>STUD_MAN_COCURR_SPORT</vt:lpstr>
      <vt:lpstr>STUD_MAN_COCURR_SPORT_ARR</vt:lpstr>
      <vt:lpstr>STUD_MAN_COCURR_SPORT_STUD_PART</vt:lpstr>
      <vt:lpstr>STUD_MAN_FIN_ASS</vt:lpstr>
      <vt:lpstr>STUD_MAN_FIN_ASS_EST</vt:lpstr>
      <vt:lpstr>STUD_MAN_FIN_ASS_IND_AWARD</vt:lpstr>
      <vt:lpstr>STUD_MAN_FIN_ASS_PROG</vt:lpstr>
      <vt:lpstr>STUD_MAN_HEALTH</vt:lpstr>
      <vt:lpstr>STUD_MAN_HEALTH_ACC</vt:lpstr>
      <vt:lpstr>STUD_MAN_HEALTH_ACC_INVEST</vt:lpstr>
      <vt:lpstr>STUD_MAN_HEALTH_ACC_REG</vt:lpstr>
      <vt:lpstr>STUD_MAN_HEALTH_STUD_HIST</vt:lpstr>
      <vt:lpstr>STUD_MAN_HOME</vt:lpstr>
      <vt:lpstr>STUD_MAN_MAST_REC_OTH</vt:lpstr>
      <vt:lpstr>STUD_MAN_MAST_REC_OUT_HOME</vt:lpstr>
      <vt:lpstr>STUD_MAN_MAST_REC_SUP_REC</vt:lpstr>
      <vt:lpstr>STUD_MAN_WORK_EXP</vt:lpstr>
      <vt:lpstr>STUD_MAST_REC</vt:lpstr>
      <vt:lpstr>STUD_MAST_REC_INDIG</vt:lpstr>
      <vt:lpstr>STUD_SERV</vt:lpstr>
      <vt:lpstr>STUD_SERV_ACCOM</vt:lpstr>
      <vt:lpstr>STUD_SERV_ACCOM_APPS_SUC</vt:lpstr>
      <vt:lpstr>STUD_SERV_ACCOM_APPS_UNSUC</vt:lpstr>
      <vt:lpstr>STUD_SERV_ANIM_CROP</vt:lpstr>
      <vt:lpstr>STUD_SERV_CAREERS</vt:lpstr>
      <vt:lpstr>STUD_SERV_FOOD</vt:lpstr>
      <vt:lpstr>STUD_SERV_FOOD_COMP</vt:lpstr>
      <vt:lpstr>STUD_SERV_FOOD_OPER</vt:lpstr>
      <vt:lpstr>STUD_SERV_HEALTH_WELF</vt:lpstr>
      <vt:lpstr>STUD_SERV_HEALTH_WELF_PROG_DEV</vt:lpstr>
      <vt:lpstr>STUD_SERV_HEALTH_WELF_PROG_OPER</vt:lpstr>
      <vt:lpstr>STUD_SERV_HEALTH_WELF_SUMM_HEALTH_DAT</vt:lpstr>
      <vt:lpstr>STUD_SERV_LIB</vt:lpstr>
      <vt:lpstr>STUD_SERV_OUT_OF_HOURS</vt:lpstr>
      <vt:lpstr>STUD_SERV_OUT_OF_HOURS_ACT</vt:lpstr>
      <vt:lpstr>STUD_SERV_OUT_OF_HOURS_ATT</vt:lpstr>
      <vt:lpstr>STUD_SERV_OUT_OF_HOURS_EXT_SERV</vt:lpstr>
      <vt:lpstr>SUMMARY_DATA</vt:lpstr>
      <vt:lpstr>TAXATION</vt:lpstr>
      <vt:lpstr>TEACH_LEARN</vt:lpstr>
      <vt:lpstr>TEACH_LEARN_ANALYTICS</vt:lpstr>
      <vt:lpstr>TEACH_LEARN_ANALYTICS_AGG_DATA</vt:lpstr>
      <vt:lpstr>TEACH_LEARN_ANALYTICS_INDIV_STU</vt:lpstr>
      <vt:lpstr>TEACH_LEARN_CURR</vt:lpstr>
      <vt:lpstr>TEACH_LEARN_CURR_DEV_DEL</vt:lpstr>
      <vt:lpstr>TEACH_LEARN_CURR_INT_BACC</vt:lpstr>
      <vt:lpstr>TEACH_LEARN_CURR_MAJ_PROG</vt:lpstr>
      <vt:lpstr>TEACH_LEARN_CURR_REVIEW</vt:lpstr>
      <vt:lpstr>TEACH_LEARN_DIST_ED</vt:lpstr>
      <vt:lpstr>TEACH_LEARN_EXAM_ASS</vt:lpstr>
      <vt:lpstr>TEACH_LEARN_EXAM_ASS_ARR</vt:lpstr>
      <vt:lpstr>TEACH_LEARN_EXAM_ASS_CERTS</vt:lpstr>
      <vt:lpstr>TEACH_LEARN_EXAM_ASS_OTHER</vt:lpstr>
      <vt:lpstr>TEACH_LEARN_EXAM_ASS_STUD_RES</vt:lpstr>
      <vt:lpstr>TEACH_LEARN_EXAM_ASS_SUMM_RESULTS</vt:lpstr>
      <vt:lpstr>TEACH_LEARN_EXAM_ASS_SUMM_RESULTS_QUALS</vt:lpstr>
      <vt:lpstr>TEACH_LEARN_HIGH_POT</vt:lpstr>
      <vt:lpstr>TEACH_LEARN_HIGH_POT_PROG</vt:lpstr>
      <vt:lpstr>TEACH_LEARN_HIGH_POT_STUD</vt:lpstr>
      <vt:lpstr>TEACH_LEARN_SPEC_ED</vt:lpstr>
      <vt:lpstr>TEACH_LEARN_SPEC_ED_IND_STUD</vt:lpstr>
      <vt:lpstr>TEACH_LEARN_SPEC_ED_PROG</vt:lpstr>
      <vt:lpstr>TEACH_LEARN_TIME</vt:lpstr>
      <vt:lpstr>UNSUCCESSFUL_APPLICATIONS</vt:lpstr>
      <vt:lpstr>VALUATIONS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Judith Ellis</dc:creator>
  <cp:keywords/>
  <dc:description/>
  <cp:lastModifiedBy>Lehane, Richard</cp:lastModifiedBy>
  <cp:lastPrinted>2018-03-22T03:29:26Z</cp:lastPrinted>
  <dcterms:created xsi:type="dcterms:W3CDTF">2017-05-17T07:58:38Z</dcterms:created>
  <dcterms:modified xsi:type="dcterms:W3CDTF">2018-08-11T07:18:28Z</dcterms:modified>
  <cp:category/>
</cp:coreProperties>
</file>